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 updateLinks="always" codeName="ThisWorkbook"/>
  <mc:AlternateContent xmlns:mc="http://schemas.openxmlformats.org/markup-compatibility/2006">
    <mc:Choice Requires="x15">
      <x15ac:absPath xmlns:x15ac="http://schemas.microsoft.com/office/spreadsheetml/2010/11/ac" url="https://steria.sharepoint.com/sites/TMACarteJeune/Shared Documents/General/Opérationnel/Versions/Application mobile/"/>
    </mc:Choice>
  </mc:AlternateContent>
  <xr:revisionPtr revIDLastSave="0" documentId="8_{B4CACFD8-64AE-4E40-BD9A-B1D833DFCD1A}" xr6:coauthVersionLast="47" xr6:coauthVersionMax="47" xr10:uidLastSave="{00000000-0000-0000-0000-000000000000}"/>
  <bookViews>
    <workbookView xWindow="28680" yWindow="-1155" windowWidth="29040" windowHeight="15720" tabRatio="747" firstSheet="1" activeTab="1" xr2:uid="{00000000-000D-0000-FFFF-FFFF00000000}"/>
  </bookViews>
  <sheets>
    <sheet name="Paramétrage" sheetId="260" r:id="rId1"/>
    <sheet name="Synthèse" sheetId="1" r:id="rId2"/>
  </sheets>
  <definedNames>
    <definedName name="_xlnm._FilterDatabase" localSheetId="1" hidden="1">Synthèse!$A$1:$A$119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86" i="1" l="1"/>
  <c r="P86" i="1" s="1"/>
  <c r="N86" i="1"/>
  <c r="O85" i="1"/>
  <c r="P85" i="1"/>
  <c r="N85" i="1"/>
  <c r="J27" i="1"/>
  <c r="I27" i="1"/>
  <c r="O31" i="1"/>
  <c r="N31" i="1"/>
  <c r="P31" i="1" s="1"/>
  <c r="G31" i="1"/>
  <c r="J40" i="1"/>
  <c r="I40" i="1"/>
  <c r="J48" i="1" l="1"/>
  <c r="O48" i="1" s="1"/>
  <c r="I48" i="1"/>
  <c r="N48" i="1" s="1"/>
  <c r="N45" i="1"/>
  <c r="O45" i="1"/>
  <c r="N46" i="1"/>
  <c r="P46" i="1" s="1"/>
  <c r="O46" i="1"/>
  <c r="N47" i="1"/>
  <c r="P47" i="1" s="1"/>
  <c r="O47" i="1"/>
  <c r="N54" i="1"/>
  <c r="O54" i="1"/>
  <c r="N61" i="1"/>
  <c r="O61" i="1"/>
  <c r="P61" i="1"/>
  <c r="N87" i="1"/>
  <c r="P87" i="1" s="1"/>
  <c r="O87" i="1"/>
  <c r="N95" i="1"/>
  <c r="P95" i="1" s="1"/>
  <c r="O95" i="1"/>
  <c r="N96" i="1"/>
  <c r="O96" i="1"/>
  <c r="P96" i="1"/>
  <c r="N97" i="1"/>
  <c r="P97" i="1" s="1"/>
  <c r="O97" i="1"/>
  <c r="N91" i="1"/>
  <c r="P91" i="1" s="1"/>
  <c r="O91" i="1"/>
  <c r="J62" i="1"/>
  <c r="I62" i="1"/>
  <c r="O53" i="1"/>
  <c r="N53" i="1"/>
  <c r="J55" i="1"/>
  <c r="I55" i="1"/>
  <c r="O57" i="1"/>
  <c r="N57" i="1"/>
  <c r="O56" i="1"/>
  <c r="O59" i="1"/>
  <c r="O60" i="1"/>
  <c r="N59" i="1"/>
  <c r="N60" i="1"/>
  <c r="O63" i="1"/>
  <c r="O64" i="1"/>
  <c r="N63" i="1"/>
  <c r="N64" i="1"/>
  <c r="O52" i="1"/>
  <c r="N52" i="1"/>
  <c r="O84" i="1"/>
  <c r="N84" i="1"/>
  <c r="G84" i="1"/>
  <c r="J83" i="1"/>
  <c r="O83" i="1" s="1"/>
  <c r="I83" i="1"/>
  <c r="N83" i="1" s="1"/>
  <c r="D83" i="1"/>
  <c r="D87" i="1"/>
  <c r="D88" i="1"/>
  <c r="N88" i="1"/>
  <c r="O88" i="1"/>
  <c r="O30" i="1"/>
  <c r="N30" i="1"/>
  <c r="O43" i="1"/>
  <c r="N43" i="1"/>
  <c r="G43" i="1"/>
  <c r="J80" i="1"/>
  <c r="I80" i="1"/>
  <c r="O29" i="1"/>
  <c r="N29" i="1"/>
  <c r="D36" i="1"/>
  <c r="O49" i="1"/>
  <c r="N49" i="1"/>
  <c r="D95" i="1"/>
  <c r="D96" i="1"/>
  <c r="D97" i="1"/>
  <c r="D91" i="1"/>
  <c r="O94" i="1"/>
  <c r="N94" i="1"/>
  <c r="D94" i="1"/>
  <c r="D61" i="1"/>
  <c r="G74" i="1"/>
  <c r="G75" i="1"/>
  <c r="G59" i="1"/>
  <c r="G60" i="1"/>
  <c r="G57" i="1"/>
  <c r="G53" i="1"/>
  <c r="D48" i="1"/>
  <c r="D47" i="1"/>
  <c r="D46" i="1"/>
  <c r="D45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32" i="1"/>
  <c r="D33" i="1"/>
  <c r="D40" i="1"/>
  <c r="D50" i="1"/>
  <c r="D55" i="1"/>
  <c r="D58" i="1"/>
  <c r="D62" i="1"/>
  <c r="D65" i="1"/>
  <c r="D66" i="1"/>
  <c r="D71" i="1"/>
  <c r="D76" i="1"/>
  <c r="D79" i="1"/>
  <c r="D80" i="1"/>
  <c r="D89" i="1"/>
  <c r="D90" i="1"/>
  <c r="D93" i="1"/>
  <c r="D92" i="1"/>
  <c r="D27" i="1"/>
  <c r="D44" i="1"/>
  <c r="D98" i="1"/>
  <c r="G26" i="1"/>
  <c r="G35" i="1"/>
  <c r="G37" i="1"/>
  <c r="G38" i="1"/>
  <c r="G39" i="1"/>
  <c r="G41" i="1"/>
  <c r="G42" i="1"/>
  <c r="G51" i="1"/>
  <c r="G52" i="1"/>
  <c r="G54" i="1"/>
  <c r="G56" i="1"/>
  <c r="G63" i="1"/>
  <c r="G64" i="1"/>
  <c r="G67" i="1"/>
  <c r="G68" i="1"/>
  <c r="G69" i="1"/>
  <c r="G70" i="1"/>
  <c r="G72" i="1"/>
  <c r="G73" i="1"/>
  <c r="G77" i="1"/>
  <c r="G78" i="1"/>
  <c r="G81" i="1"/>
  <c r="G82" i="1"/>
  <c r="G28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5" i="1"/>
  <c r="D4" i="1"/>
  <c r="P54" i="1" l="1"/>
  <c r="P57" i="1"/>
  <c r="P45" i="1"/>
  <c r="P48" i="1"/>
  <c r="P84" i="1"/>
  <c r="P53" i="1"/>
  <c r="P59" i="1"/>
  <c r="P52" i="1"/>
  <c r="P63" i="1"/>
  <c r="P60" i="1"/>
  <c r="P64" i="1"/>
  <c r="P88" i="1"/>
  <c r="P83" i="1"/>
  <c r="P43" i="1"/>
  <c r="P30" i="1"/>
  <c r="P29" i="1"/>
  <c r="P49" i="1"/>
  <c r="P94" i="1"/>
  <c r="O81" i="1"/>
  <c r="O82" i="1"/>
  <c r="N81" i="1"/>
  <c r="N82" i="1"/>
  <c r="N70" i="1"/>
  <c r="O70" i="1"/>
  <c r="N69" i="1"/>
  <c r="O69" i="1"/>
  <c r="N56" i="1"/>
  <c r="O55" i="1"/>
  <c r="N55" i="1"/>
  <c r="O26" i="1"/>
  <c r="N26" i="1"/>
  <c r="J24" i="1"/>
  <c r="O24" i="1" s="1"/>
  <c r="I24" i="1"/>
  <c r="N24" i="1" s="1"/>
  <c r="K99" i="1"/>
  <c r="L99" i="1"/>
  <c r="M99" i="1"/>
  <c r="N27" i="1"/>
  <c r="J71" i="1"/>
  <c r="O71" i="1" s="1"/>
  <c r="I71" i="1"/>
  <c r="N71" i="1" s="1"/>
  <c r="J66" i="1"/>
  <c r="O66" i="1" s="1"/>
  <c r="I66" i="1"/>
  <c r="N66" i="1" s="1"/>
  <c r="J50" i="1"/>
  <c r="O50" i="1" s="1"/>
  <c r="I50" i="1"/>
  <c r="N50" i="1" s="1"/>
  <c r="O40" i="1"/>
  <c r="N40" i="1"/>
  <c r="J36" i="1"/>
  <c r="O36" i="1" s="1"/>
  <c r="I36" i="1"/>
  <c r="N36" i="1" s="1"/>
  <c r="O25" i="1"/>
  <c r="N25" i="1"/>
  <c r="J76" i="1"/>
  <c r="I76" i="1"/>
  <c r="N76" i="1" s="1"/>
  <c r="O77" i="1"/>
  <c r="O78" i="1"/>
  <c r="N77" i="1"/>
  <c r="N78" i="1"/>
  <c r="J34" i="1"/>
  <c r="O34" i="1" s="1"/>
  <c r="N34" i="1"/>
  <c r="N68" i="1"/>
  <c r="O68" i="1"/>
  <c r="N73" i="1"/>
  <c r="O73" i="1"/>
  <c r="N72" i="1"/>
  <c r="O72" i="1"/>
  <c r="O35" i="1"/>
  <c r="N51" i="1"/>
  <c r="O51" i="1"/>
  <c r="N35" i="1"/>
  <c r="O67" i="1"/>
  <c r="N67" i="1"/>
  <c r="O38" i="1"/>
  <c r="O39" i="1"/>
  <c r="N38" i="1"/>
  <c r="N39" i="1"/>
  <c r="O41" i="1"/>
  <c r="O42" i="1"/>
  <c r="N42" i="1"/>
  <c r="N41" i="1"/>
  <c r="O32" i="1"/>
  <c r="O33" i="1"/>
  <c r="O37" i="1"/>
  <c r="O58" i="1"/>
  <c r="O62" i="1"/>
  <c r="O65" i="1"/>
  <c r="O79" i="1"/>
  <c r="O80" i="1"/>
  <c r="O89" i="1"/>
  <c r="O90" i="1"/>
  <c r="O93" i="1"/>
  <c r="O92" i="1"/>
  <c r="O28" i="1"/>
  <c r="O44" i="1"/>
  <c r="N32" i="1"/>
  <c r="N33" i="1"/>
  <c r="N37" i="1"/>
  <c r="N58" i="1"/>
  <c r="N62" i="1"/>
  <c r="N65" i="1"/>
  <c r="N79" i="1"/>
  <c r="N80" i="1"/>
  <c r="N89" i="1"/>
  <c r="P89" i="1" s="1"/>
  <c r="N90" i="1"/>
  <c r="N93" i="1"/>
  <c r="N92" i="1"/>
  <c r="N28" i="1"/>
  <c r="N44" i="1"/>
  <c r="J4" i="1"/>
  <c r="O4" i="1" s="1"/>
  <c r="I4" i="1"/>
  <c r="N5" i="1"/>
  <c r="O5" i="1"/>
  <c r="N6" i="1"/>
  <c r="O6" i="1"/>
  <c r="N7" i="1"/>
  <c r="O7" i="1"/>
  <c r="N8" i="1"/>
  <c r="O8" i="1"/>
  <c r="N9" i="1"/>
  <c r="O9" i="1"/>
  <c r="N10" i="1"/>
  <c r="O10" i="1"/>
  <c r="N11" i="1"/>
  <c r="O11" i="1"/>
  <c r="N12" i="1"/>
  <c r="O12" i="1"/>
  <c r="N13" i="1"/>
  <c r="O13" i="1"/>
  <c r="N14" i="1"/>
  <c r="P14" i="1" s="1"/>
  <c r="O14" i="1"/>
  <c r="N15" i="1"/>
  <c r="O15" i="1"/>
  <c r="N16" i="1"/>
  <c r="O16" i="1"/>
  <c r="N17" i="1"/>
  <c r="O17" i="1"/>
  <c r="N18" i="1"/>
  <c r="O18" i="1"/>
  <c r="N19" i="1"/>
  <c r="O19" i="1"/>
  <c r="N20" i="1"/>
  <c r="O20" i="1"/>
  <c r="N21" i="1"/>
  <c r="O21" i="1"/>
  <c r="N22" i="1"/>
  <c r="O22" i="1"/>
  <c r="N23" i="1"/>
  <c r="O23" i="1"/>
  <c r="N98" i="1"/>
  <c r="O98" i="1"/>
  <c r="N4" i="1" l="1"/>
  <c r="N99" i="1" s="1"/>
  <c r="I99" i="1"/>
  <c r="I104" i="1"/>
  <c r="O76" i="1"/>
  <c r="J99" i="1"/>
  <c r="P82" i="1"/>
  <c r="P56" i="1"/>
  <c r="P26" i="1"/>
  <c r="P93" i="1"/>
  <c r="P78" i="1"/>
  <c r="P81" i="1"/>
  <c r="P90" i="1"/>
  <c r="P69" i="1"/>
  <c r="P55" i="1"/>
  <c r="P70" i="1"/>
  <c r="P79" i="1"/>
  <c r="P44" i="1"/>
  <c r="P38" i="1"/>
  <c r="P35" i="1"/>
  <c r="P58" i="1"/>
  <c r="P62" i="1"/>
  <c r="P65" i="1"/>
  <c r="P80" i="1"/>
  <c r="P92" i="1"/>
  <c r="O27" i="1"/>
  <c r="P25" i="1"/>
  <c r="P71" i="1"/>
  <c r="P66" i="1"/>
  <c r="P50" i="1"/>
  <c r="P40" i="1"/>
  <c r="P36" i="1"/>
  <c r="P24" i="1"/>
  <c r="P34" i="1"/>
  <c r="P77" i="1"/>
  <c r="P32" i="1"/>
  <c r="P33" i="1"/>
  <c r="P76" i="1"/>
  <c r="P39" i="1"/>
  <c r="P68" i="1"/>
  <c r="P73" i="1"/>
  <c r="P67" i="1"/>
  <c r="P72" i="1"/>
  <c r="P51" i="1"/>
  <c r="P11" i="1"/>
  <c r="P28" i="1"/>
  <c r="P42" i="1"/>
  <c r="P41" i="1"/>
  <c r="P37" i="1"/>
  <c r="P10" i="1"/>
  <c r="P21" i="1"/>
  <c r="P12" i="1"/>
  <c r="P15" i="1"/>
  <c r="P8" i="1"/>
  <c r="P7" i="1"/>
  <c r="P13" i="1"/>
  <c r="P16" i="1"/>
  <c r="P5" i="1"/>
  <c r="P18" i="1"/>
  <c r="P9" i="1"/>
  <c r="P6" i="1"/>
  <c r="P19" i="1"/>
  <c r="P23" i="1"/>
  <c r="P22" i="1"/>
  <c r="P20" i="1"/>
  <c r="P17" i="1"/>
  <c r="P98" i="1"/>
  <c r="O99" i="1" l="1"/>
  <c r="P99" i="1" s="1"/>
  <c r="P27" i="1"/>
  <c r="P4" i="1"/>
  <c r="M100" i="1" l="1"/>
  <c r="J100" i="1" l="1"/>
  <c r="P100" i="1" l="1"/>
  <c r="R99" i="1" l="1"/>
</calcChain>
</file>

<file path=xl/sharedStrings.xml><?xml version="1.0" encoding="utf-8"?>
<sst xmlns="http://schemas.openxmlformats.org/spreadsheetml/2006/main" count="397" uniqueCount="253">
  <si>
    <t>Cypress</t>
  </si>
  <si>
    <t>Réalisation</t>
  </si>
  <si>
    <t>Prépa qualif</t>
  </si>
  <si>
    <t>Etat</t>
  </si>
  <si>
    <t>Doc technique</t>
  </si>
  <si>
    <t>Oui</t>
  </si>
  <si>
    <t>Lucas</t>
  </si>
  <si>
    <t>EA</t>
  </si>
  <si>
    <t>🔢 A macro-chiffrer / chiffrer</t>
  </si>
  <si>
    <t>A MAJ</t>
  </si>
  <si>
    <t>Non</t>
  </si>
  <si>
    <t>Sébastien</t>
  </si>
  <si>
    <t>AF</t>
  </si>
  <si>
    <t>📜 DA à faire/a revoir</t>
  </si>
  <si>
    <t>MAJ</t>
  </si>
  <si>
    <t>Loïc</t>
  </si>
  <si>
    <t>OK</t>
  </si>
  <si>
    <r>
      <rPr>
        <sz val="14"/>
        <color theme="1"/>
        <rFont val="Calibri"/>
        <family val="2"/>
        <scheme val="minor"/>
      </rPr>
      <t>📨</t>
    </r>
    <r>
      <rPr>
        <sz val="11"/>
        <color theme="1"/>
        <rFont val="Calibri"/>
        <family val="2"/>
        <scheme val="minor"/>
      </rPr>
      <t xml:space="preserve"> A déposer</t>
    </r>
  </si>
  <si>
    <t>N/A</t>
  </si>
  <si>
    <t>David</t>
  </si>
  <si>
    <t>⌛ En attente de validation Région</t>
  </si>
  <si>
    <t>Maxime</t>
  </si>
  <si>
    <t>▶️Réalisation à faire</t>
  </si>
  <si>
    <t>Fabien</t>
  </si>
  <si>
    <t>🚧 En cours de dev</t>
  </si>
  <si>
    <t>Edith</t>
  </si>
  <si>
    <t>👀 En MR</t>
  </si>
  <si>
    <t>Pablo</t>
  </si>
  <si>
    <t>🦄 A mettre en qualif</t>
  </si>
  <si>
    <t>Paire</t>
  </si>
  <si>
    <t>🛠️En qualif</t>
  </si>
  <si>
    <t>💢 Defect</t>
  </si>
  <si>
    <t>🚨Retour recette</t>
  </si>
  <si>
    <t>🦊A mettre en préprod</t>
  </si>
  <si>
    <t>🕰️En recette métier</t>
  </si>
  <si>
    <t>🐦‍🔥A mettre en production</t>
  </si>
  <si>
    <t>✅ En production</t>
  </si>
  <si>
    <t xml:space="preserve"> </t>
  </si>
  <si>
    <t>Réalisation (Dev / TU)</t>
  </si>
  <si>
    <t>Test</t>
  </si>
  <si>
    <t>Total</t>
  </si>
  <si>
    <t>Sprint</t>
  </si>
  <si>
    <t>Ticket</t>
  </si>
  <si>
    <t>Sous tache</t>
  </si>
  <si>
    <t>Dev</t>
  </si>
  <si>
    <t>Estimation</t>
  </si>
  <si>
    <t>RAE</t>
  </si>
  <si>
    <t>Prépa</t>
  </si>
  <si>
    <t>Commentaire</t>
  </si>
  <si>
    <t>BLM-5319</t>
  </si>
  <si>
    <t>Mise en place du socle de l'application mobile</t>
  </si>
  <si>
    <t>BLM-5321</t>
  </si>
  <si>
    <t>Création de la base de l'architecture application mobile</t>
  </si>
  <si>
    <t>BLM-5322</t>
  </si>
  <si>
    <t>Configuration de l'environnement de développement VS Code</t>
  </si>
  <si>
    <t>BLM-5323</t>
  </si>
  <si>
    <t>Configuration linter (règles de codage)</t>
  </si>
  <si>
    <t>BLM-5324</t>
  </si>
  <si>
    <t>Création d'une page avec les composants les plus importants</t>
  </si>
  <si>
    <t>BLM-5325</t>
  </si>
  <si>
    <t>Gestion du style light/black (Création de la palette de couleur)</t>
  </si>
  <si>
    <t>BLM-5326</t>
  </si>
  <si>
    <t>Gestion de la sécurité des données</t>
  </si>
  <si>
    <t>BLM-5327</t>
  </si>
  <si>
    <t>Documentation d'architure technique (DAT)</t>
  </si>
  <si>
    <t>BLM-5328</t>
  </si>
  <si>
    <t>Documentation de l'installation du poste pour l'application</t>
  </si>
  <si>
    <t>BLM-5329</t>
  </si>
  <si>
    <t>Configuration xcode et téléphone IOS</t>
  </si>
  <si>
    <t>BLM-5330</t>
  </si>
  <si>
    <t>Configuration des Tus (Karmas ?) pour tester les composants</t>
  </si>
  <si>
    <t>BLM-5331</t>
  </si>
  <si>
    <t>Initialisation du projet Backend</t>
  </si>
  <si>
    <t>BLM-5332</t>
  </si>
  <si>
    <t>Pipelin déploiement du module MobileApi</t>
  </si>
  <si>
    <t>BLM-5333</t>
  </si>
  <si>
    <t>Authentification Custom</t>
  </si>
  <si>
    <t>BLM-5334</t>
  </si>
  <si>
    <t>Mise en place de la piple app mobile</t>
  </si>
  <si>
    <t>BLM-5335</t>
  </si>
  <si>
    <t>Intégration de l'application mobile dans Sonar</t>
  </si>
  <si>
    <t>BLM-5337</t>
  </si>
  <si>
    <t>Guidline Front &amp; back</t>
  </si>
  <si>
    <t>BLM-5338</t>
  </si>
  <si>
    <t>Comment on s'assure que les RGAA sont respectées ?</t>
  </si>
  <si>
    <t>BLM-5339</t>
  </si>
  <si>
    <t>Rédaction et préparation pour stores Android &amp; IOS</t>
  </si>
  <si>
    <t>BLM-5336</t>
  </si>
  <si>
    <t>Test de performance</t>
  </si>
  <si>
    <t>Multi-sprint</t>
  </si>
  <si>
    <t>BLM-5345</t>
  </si>
  <si>
    <t>Splash screen</t>
  </si>
  <si>
    <t>Démo</t>
  </si>
  <si>
    <t>BLM-5420</t>
  </si>
  <si>
    <t>Page de chargement</t>
  </si>
  <si>
    <t>Sprint3</t>
  </si>
  <si>
    <t>BLM-5464</t>
  </si>
  <si>
    <t>Mettre des phrases aléatoire dans le splash screen</t>
  </si>
  <si>
    <t>BLM-5378</t>
  </si>
  <si>
    <t>Connexion</t>
  </si>
  <si>
    <t>BLM-5403</t>
  </si>
  <si>
    <t>Page de login qui redirige vers la page d'accueil</t>
  </si>
  <si>
    <t>BLM-5502</t>
  </si>
  <si>
    <t>garder le contexte navigateur coté ios</t>
  </si>
  <si>
    <t>BLM-5505</t>
  </si>
  <si>
    <t>integrer le workflow creation de compte</t>
  </si>
  <si>
    <t>BLM-5559</t>
  </si>
  <si>
    <t>Optimize SQL requests login and fix missing case</t>
  </si>
  <si>
    <t>BLM-5347</t>
  </si>
  <si>
    <t>Mise en place du Header</t>
  </si>
  <si>
    <t>BLM-5348</t>
  </si>
  <si>
    <t>Mise en place du Footer</t>
  </si>
  <si>
    <t>BLM-5349</t>
  </si>
  <si>
    <t>Mise en place du menu</t>
  </si>
  <si>
    <t>Ma</t>
  </si>
  <si>
    <t>BLM-5427</t>
  </si>
  <si>
    <t>Mise à jour du menu et initialisation des pages manquantes</t>
  </si>
  <si>
    <t>BLM-5350</t>
  </si>
  <si>
    <t>Mon compte</t>
  </si>
  <si>
    <t>BLM-5416</t>
  </si>
  <si>
    <t>Retirer le bandeau du header et de footer sur le mobile</t>
  </si>
  <si>
    <t>BLM-5417</t>
  </si>
  <si>
    <t>Rendre responsive la newsletter</t>
  </si>
  <si>
    <t>BLM-5418</t>
  </si>
  <si>
    <t>Masquer les sections "Détail des aides" et "Aide loRdi" et "Aide PSC"</t>
  </si>
  <si>
    <t>Sprint1</t>
  </si>
  <si>
    <t>BLM-5351</t>
  </si>
  <si>
    <t>Assistance</t>
  </si>
  <si>
    <t>BLM-5414</t>
  </si>
  <si>
    <t>Création de la page</t>
  </si>
  <si>
    <t>BLM-5415</t>
  </si>
  <si>
    <t>Ajout du chatbot Zendesk</t>
  </si>
  <si>
    <t>BLM-5539</t>
  </si>
  <si>
    <t>Migration de la page assistance Ionic vers React native</t>
  </si>
  <si>
    <t>V35</t>
  </si>
  <si>
    <t>BLM-5379</t>
  </si>
  <si>
    <t>Passage des FAQ responsive (Benef)</t>
  </si>
  <si>
    <t>BLM-5352</t>
  </si>
  <si>
    <t>Paramétrage</t>
  </si>
  <si>
    <t>BLM-5487</t>
  </si>
  <si>
    <t>Page de mise à jour</t>
  </si>
  <si>
    <t>BLM-5353</t>
  </si>
  <si>
    <t>Page de maintenance</t>
  </si>
  <si>
    <t>BLM-5488</t>
  </si>
  <si>
    <t>Page hors réseau</t>
  </si>
  <si>
    <t>BLM-5499</t>
  </si>
  <si>
    <t>Détection du mode hors connexion + affichage de l'erreur</t>
  </si>
  <si>
    <t>BLM-5354</t>
  </si>
  <si>
    <t>Accueil</t>
  </si>
  <si>
    <t>BLM-5428</t>
  </si>
  <si>
    <t>Affichage des 5 derniers bons plans / engagement sur la page d’accueil</t>
  </si>
  <si>
    <t>BLM-5485</t>
  </si>
  <si>
    <t>Add placeholder home page</t>
  </si>
  <si>
    <t>BLM-5489</t>
  </si>
  <si>
    <t>Mes aides disponibles</t>
  </si>
  <si>
    <t>Sprint2</t>
  </si>
  <si>
    <t>BLM-5490</t>
  </si>
  <si>
    <t>Mes actions</t>
  </si>
  <si>
    <t>BLM-5355</t>
  </si>
  <si>
    <t>Mes aides</t>
  </si>
  <si>
    <t>BLM-5421</t>
  </si>
  <si>
    <t>Creation de l'API permettant de recuperer la liste des aides disponibles (aide lecture)</t>
  </si>
  <si>
    <t>BLM-5422</t>
  </si>
  <si>
    <t>Implémentation de l'API aide réalisé pour afficher les différentes informations</t>
  </si>
  <si>
    <t>BLM-5356</t>
  </si>
  <si>
    <t>Livres de loisirs</t>
  </si>
  <si>
    <t>BLM-5491</t>
  </si>
  <si>
    <t>Liste des partenaires</t>
  </si>
  <si>
    <t>BLM-5492</t>
  </si>
  <si>
    <t>Cartes des partenaires</t>
  </si>
  <si>
    <t>BLM-5357</t>
  </si>
  <si>
    <t>Historique des achats</t>
  </si>
  <si>
    <t>BLM-5358</t>
  </si>
  <si>
    <t>Aide PSC</t>
  </si>
  <si>
    <t>BLM-5483</t>
  </si>
  <si>
    <t>Aide PSC-BACK</t>
  </si>
  <si>
    <t>BLM-5484</t>
  </si>
  <si>
    <t>Aide PSC-FRONT</t>
  </si>
  <si>
    <t>BLM-5359</t>
  </si>
  <si>
    <t>Aide loRdi</t>
  </si>
  <si>
    <t>BLM-5360</t>
  </si>
  <si>
    <t>Bon Plan</t>
  </si>
  <si>
    <t>BLM-5405</t>
  </si>
  <si>
    <t>Creation API Bon plans</t>
  </si>
  <si>
    <t>BLM-5423</t>
  </si>
  <si>
    <t>Gestion des images des bons plans pour compatibilité mobile</t>
  </si>
  <si>
    <t>BLM-5430</t>
  </si>
  <si>
    <t>Correction du comportement des pins sur la carte coté IOS</t>
  </si>
  <si>
    <t>BLM-5429</t>
  </si>
  <si>
    <t>Affichage simplifié des bons plans en WebView</t>
  </si>
  <si>
    <t>BLM-5361</t>
  </si>
  <si>
    <t>Je m'engage</t>
  </si>
  <si>
    <t>BLM-5425</t>
  </si>
  <si>
    <t>Filtrage des offres carte par type via query param pour l'affichage des engagements</t>
  </si>
  <si>
    <t>BLM-5426</t>
  </si>
  <si>
    <t>Création de la page Engagement</t>
  </si>
  <si>
    <t>Sprint 3</t>
  </si>
  <si>
    <t>BLM-5424</t>
  </si>
  <si>
    <t>API utilisateur et gestion du statut "A chacun son arbre"</t>
  </si>
  <si>
    <t>BLM-5495</t>
  </si>
  <si>
    <t>P3 "A chacun son arbre"</t>
  </si>
  <si>
    <t>BLM-5362</t>
  </si>
  <si>
    <t>Ma Carte</t>
  </si>
  <si>
    <t>BLM-5449</t>
  </si>
  <si>
    <t>Création de la page + étapes de status de la carte</t>
  </si>
  <si>
    <t>BLM-5450</t>
  </si>
  <si>
    <t>Ajout de la carte dématérialisé</t>
  </si>
  <si>
    <t>BLM-5363</t>
  </si>
  <si>
    <t>Tester ma carte</t>
  </si>
  <si>
    <t>BLM-5364</t>
  </si>
  <si>
    <t>Remplacer ma carte</t>
  </si>
  <si>
    <t>BLM-5470</t>
  </si>
  <si>
    <t>Remplacer ma carte - BACK</t>
  </si>
  <si>
    <t>BLM-5471</t>
  </si>
  <si>
    <t>Remplacer ma carte - FRONT</t>
  </si>
  <si>
    <t>BLM-5541</t>
  </si>
  <si>
    <t>EFECT - Sprint 1 application mobile</t>
  </si>
  <si>
    <t>BLM-5542</t>
  </si>
  <si>
    <t>Problème d'affichage sur les BP/engagement</t>
  </si>
  <si>
    <t>BLM-5560</t>
  </si>
  <si>
    <t>Mise en place du versioning d'API</t>
  </si>
  <si>
    <t>BLM-5544</t>
  </si>
  <si>
    <t>Ouvrir l'application si il y a une erreur reseaux</t>
  </si>
  <si>
    <t>BLM-5365</t>
  </si>
  <si>
    <t>Ancienne carte</t>
  </si>
  <si>
    <t>BLM-5366</t>
  </si>
  <si>
    <t>Tutoriel</t>
  </si>
  <si>
    <t>BLM-5367</t>
  </si>
  <si>
    <t>Page des notifications mobiles</t>
  </si>
  <si>
    <t>BLM-5368</t>
  </si>
  <si>
    <t>Web : Page de gestion des notifications</t>
  </si>
  <si>
    <t>BLM-5377</t>
  </si>
  <si>
    <t>Web : Modifier une notification depuis BO</t>
  </si>
  <si>
    <t>BLM-5373</t>
  </si>
  <si>
    <t>Envoyer une notification (BO)</t>
  </si>
  <si>
    <t>BLM-5369</t>
  </si>
  <si>
    <t>Envoi automatique de notification depuis BO P1/P2</t>
  </si>
  <si>
    <t>BLM-5371</t>
  </si>
  <si>
    <t>Envoi automatique de notification depuis BO P3</t>
  </si>
  <si>
    <t>BLM-5375</t>
  </si>
  <si>
    <t>Web : page de gestion des idées</t>
  </si>
  <si>
    <t>BLM-5374</t>
  </si>
  <si>
    <t>Boite à idée</t>
  </si>
  <si>
    <t>BLM-5497</t>
  </si>
  <si>
    <t>Mode sombre</t>
  </si>
  <si>
    <t>V36</t>
  </si>
  <si>
    <t>BLM-5380</t>
  </si>
  <si>
    <t>Passage de pages web en responsive (Benef)</t>
  </si>
  <si>
    <t>Avancement</t>
  </si>
  <si>
    <t>0.1.0</t>
  </si>
  <si>
    <t>0.2.0</t>
  </si>
  <si>
    <t>0.3.0</t>
  </si>
  <si>
    <t>0.4.0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</si>
</sst>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71DAFF"/>
        <bgColor indexed="64"/>
      </patternFill>
    </fill>
    <fill>
      <patternFill patternType="solid">
        <fgColor rgb="FF0000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5A33"/>
        <bgColor indexed="64"/>
      </patternFill>
    </fill>
    <fill>
      <patternFill patternType="solid">
        <fgColor rgb="FFFF8837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3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0" fontId="1" fillId="2" borderId="1" applyNumberFormat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83">
    <xf numFmtId="0" fontId="0" fillId="0" borderId="0" xfId="0"/>
    <xf numFmtId="0" fontId="0" fillId="3" borderId="4" xfId="0" applyFill="1" applyBorder="1"/>
    <xf numFmtId="0" fontId="5" fillId="0" borderId="0" xfId="0" applyFont="1"/>
    <xf numFmtId="0" fontId="2" fillId="0" borderId="0" xfId="0" applyFont="1"/>
    <xf numFmtId="0" fontId="0" fillId="4" borderId="10" xfId="0" applyFill="1" applyBorder="1" applyAlignment="1">
      <alignment vertical="center"/>
    </xf>
    <xf numFmtId="0" fontId="2" fillId="5" borderId="0" xfId="0" applyFont="1" applyFill="1" applyAlignment="1">
      <alignment horizontal="center"/>
    </xf>
    <xf numFmtId="0" fontId="0" fillId="3" borderId="0" xfId="0" applyFill="1"/>
    <xf numFmtId="9" fontId="4" fillId="0" borderId="17" xfId="0" applyNumberFormat="1" applyFont="1" applyBorder="1"/>
    <xf numFmtId="0" fontId="0" fillId="4" borderId="12" xfId="0" applyFill="1" applyBorder="1" applyAlignment="1">
      <alignment vertical="center"/>
    </xf>
    <xf numFmtId="0" fontId="0" fillId="0" borderId="0" xfId="0" applyAlignment="1">
      <alignment horizontal="right"/>
    </xf>
    <xf numFmtId="9" fontId="4" fillId="0" borderId="0" xfId="0" applyNumberFormat="1" applyFont="1"/>
    <xf numFmtId="0" fontId="0" fillId="0" borderId="0" xfId="0" applyAlignment="1">
      <alignment horizontal="center"/>
    </xf>
    <xf numFmtId="0" fontId="0" fillId="6" borderId="16" xfId="0" applyFill="1" applyBorder="1"/>
    <xf numFmtId="0" fontId="0" fillId="6" borderId="18" xfId="0" applyFill="1" applyBorder="1"/>
    <xf numFmtId="0" fontId="9" fillId="3" borderId="4" xfId="0" applyFont="1" applyFill="1" applyBorder="1"/>
    <xf numFmtId="20" fontId="0" fillId="0" borderId="0" xfId="0" applyNumberFormat="1"/>
    <xf numFmtId="0" fontId="9" fillId="6" borderId="5" xfId="0" applyFont="1" applyFill="1" applyBorder="1" applyAlignment="1">
      <alignment horizontal="center"/>
    </xf>
    <xf numFmtId="0" fontId="4" fillId="6" borderId="2" xfId="0" applyFont="1" applyFill="1" applyBorder="1"/>
    <xf numFmtId="0" fontId="0" fillId="3" borderId="3" xfId="0" applyFill="1" applyBorder="1"/>
    <xf numFmtId="0" fontId="1" fillId="6" borderId="20" xfId="1" applyFill="1" applyBorder="1"/>
    <xf numFmtId="9" fontId="4" fillId="0" borderId="21" xfId="0" applyNumberFormat="1" applyFont="1" applyBorder="1"/>
    <xf numFmtId="9" fontId="8" fillId="5" borderId="21" xfId="0" applyNumberFormat="1" applyFont="1" applyFill="1" applyBorder="1"/>
    <xf numFmtId="0" fontId="0" fillId="3" borderId="9" xfId="0" applyFill="1" applyBorder="1"/>
    <xf numFmtId="0" fontId="1" fillId="6" borderId="2" xfId="1" applyFill="1" applyBorder="1"/>
    <xf numFmtId="0" fontId="1" fillId="6" borderId="22" xfId="1" applyFill="1" applyBorder="1"/>
    <xf numFmtId="0" fontId="0" fillId="7" borderId="0" xfId="0" applyFill="1"/>
    <xf numFmtId="0" fontId="0" fillId="8" borderId="0" xfId="0" applyFill="1"/>
    <xf numFmtId="0" fontId="7" fillId="9" borderId="0" xfId="0" applyFont="1" applyFill="1"/>
    <xf numFmtId="0" fontId="0" fillId="10" borderId="0" xfId="0" applyFill="1"/>
    <xf numFmtId="0" fontId="7" fillId="11" borderId="0" xfId="0" applyFont="1" applyFill="1"/>
    <xf numFmtId="0" fontId="3" fillId="12" borderId="0" xfId="0" applyFont="1" applyFill="1"/>
    <xf numFmtId="0" fontId="7" fillId="14" borderId="0" xfId="0" applyFont="1" applyFill="1"/>
    <xf numFmtId="0" fontId="7" fillId="15" borderId="0" xfId="0" applyFont="1" applyFill="1"/>
    <xf numFmtId="0" fontId="0" fillId="13" borderId="0" xfId="0" applyFill="1"/>
    <xf numFmtId="0" fontId="7" fillId="16" borderId="0" xfId="0" applyFont="1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9" fontId="4" fillId="0" borderId="23" xfId="0" applyNumberFormat="1" applyFont="1" applyBorder="1"/>
    <xf numFmtId="0" fontId="4" fillId="6" borderId="14" xfId="0" applyFont="1" applyFill="1" applyBorder="1"/>
    <xf numFmtId="0" fontId="0" fillId="21" borderId="0" xfId="0" applyFill="1"/>
    <xf numFmtId="0" fontId="0" fillId="9" borderId="0" xfId="0" applyFill="1"/>
    <xf numFmtId="0" fontId="0" fillId="22" borderId="0" xfId="0" applyFill="1"/>
    <xf numFmtId="0" fontId="0" fillId="0" borderId="0" xfId="0" applyAlignment="1">
      <alignment horizontal="left"/>
    </xf>
    <xf numFmtId="0" fontId="0" fillId="23" borderId="0" xfId="0" applyFill="1"/>
    <xf numFmtId="0" fontId="0" fillId="0" borderId="0" xfId="0" applyAlignment="1">
      <alignment horizontal="left" vertical="center"/>
    </xf>
    <xf numFmtId="0" fontId="12" fillId="0" borderId="0" xfId="0" applyFont="1"/>
    <xf numFmtId="0" fontId="1" fillId="6" borderId="25" xfId="1" applyFill="1" applyBorder="1"/>
    <xf numFmtId="0" fontId="0" fillId="3" borderId="19" xfId="0" applyFill="1" applyBorder="1"/>
    <xf numFmtId="0" fontId="1" fillId="6" borderId="27" xfId="1" applyFill="1" applyBorder="1"/>
    <xf numFmtId="0" fontId="6" fillId="6" borderId="18" xfId="3" applyFill="1" applyBorder="1"/>
    <xf numFmtId="0" fontId="6" fillId="6" borderId="28" xfId="3" applyFill="1" applyBorder="1" applyAlignment="1"/>
    <xf numFmtId="0" fontId="13" fillId="5" borderId="11" xfId="0" applyFont="1" applyFill="1" applyBorder="1"/>
    <xf numFmtId="0" fontId="13" fillId="5" borderId="15" xfId="0" applyFont="1" applyFill="1" applyBorder="1"/>
    <xf numFmtId="0" fontId="0" fillId="24" borderId="28" xfId="0" applyFill="1" applyBorder="1"/>
    <xf numFmtId="0" fontId="6" fillId="24" borderId="28" xfId="3" applyFill="1" applyBorder="1" applyAlignment="1"/>
    <xf numFmtId="0" fontId="0" fillId="24" borderId="18" xfId="0" applyFill="1" applyBorder="1"/>
    <xf numFmtId="0" fontId="6" fillId="24" borderId="18" xfId="3" applyFill="1" applyBorder="1"/>
    <xf numFmtId="0" fontId="1" fillId="24" borderId="22" xfId="1" applyFill="1" applyBorder="1"/>
    <xf numFmtId="0" fontId="1" fillId="24" borderId="2" xfId="1" applyFill="1" applyBorder="1"/>
    <xf numFmtId="0" fontId="1" fillId="24" borderId="25" xfId="1" applyFill="1" applyBorder="1"/>
    <xf numFmtId="0" fontId="1" fillId="24" borderId="20" xfId="1" applyFill="1" applyBorder="1"/>
    <xf numFmtId="0" fontId="9" fillId="24" borderId="5" xfId="0" applyFont="1" applyFill="1" applyBorder="1" applyAlignment="1">
      <alignment horizontal="center"/>
    </xf>
    <xf numFmtId="0" fontId="1" fillId="24" borderId="27" xfId="1" applyFill="1" applyBorder="1"/>
    <xf numFmtId="0" fontId="4" fillId="24" borderId="14" xfId="0" applyFont="1" applyFill="1" applyBorder="1"/>
    <xf numFmtId="0" fontId="4" fillId="24" borderId="2" xfId="0" applyFont="1" applyFill="1" applyBorder="1"/>
    <xf numFmtId="0" fontId="0" fillId="24" borderId="29" xfId="0" applyFill="1" applyBorder="1"/>
    <xf numFmtId="0" fontId="0" fillId="24" borderId="16" xfId="0" applyFill="1" applyBorder="1"/>
    <xf numFmtId="0" fontId="6" fillId="24" borderId="28" xfId="2" applyFill="1" applyBorder="1" applyAlignment="1"/>
    <xf numFmtId="0" fontId="1" fillId="24" borderId="30" xfId="1" applyFill="1" applyBorder="1"/>
    <xf numFmtId="0" fontId="1" fillId="24" borderId="5" xfId="1" applyFill="1" applyBorder="1"/>
    <xf numFmtId="0" fontId="1" fillId="24" borderId="31" xfId="1" applyFill="1" applyBorder="1"/>
    <xf numFmtId="0" fontId="2" fillId="5" borderId="24" xfId="0" applyFont="1" applyFill="1" applyBorder="1" applyAlignment="1">
      <alignment horizontal="center"/>
    </xf>
    <xf numFmtId="0" fontId="2" fillId="5" borderId="7" xfId="0" applyFont="1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4" borderId="26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11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</cellXfs>
  <cellStyles count="4">
    <cellStyle name="Calcul" xfId="1" builtinId="22"/>
    <cellStyle name="Hyperlink" xfId="2" xr:uid="{00000000-0005-0000-0000-000002000000}"/>
    <cellStyle name="Lien hypertexte" xfId="3" builtinId="8"/>
    <cellStyle name="Normal" xfId="0" builtinId="0"/>
  </cellStyles>
  <dxfs count="15">
    <dxf>
      <font>
        <color auto="1"/>
      </font>
      <fill>
        <patternFill>
          <bgColor rgb="FFBFBFBF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CC99FF"/>
        </patternFill>
      </fill>
    </dxf>
    <dxf>
      <font>
        <color auto="1"/>
      </font>
      <fill>
        <patternFill>
          <bgColor rgb="FF71DAFF"/>
        </patternFill>
      </fill>
    </dxf>
    <dxf>
      <font>
        <color theme="0"/>
      </font>
      <fill>
        <patternFill>
          <bgColor rgb="FF0000CC"/>
        </patternFill>
      </fill>
    </dxf>
    <dxf>
      <fill>
        <patternFill>
          <bgColor rgb="FFFF8837"/>
        </patternFill>
      </fill>
    </dxf>
    <dxf>
      <fill>
        <patternFill>
          <bgColor rgb="FFFF5A33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auto="1"/>
      </font>
      <fill>
        <patternFill>
          <bgColor rgb="FFFFF2CC"/>
        </patternFill>
      </fill>
    </dxf>
    <dxf>
      <font>
        <color auto="1"/>
      </font>
      <fill>
        <patternFill>
          <bgColor rgb="FFD9D9D9"/>
        </patternFill>
      </fill>
    </dxf>
    <dxf>
      <font>
        <color auto="1"/>
      </font>
      <fill>
        <patternFill>
          <bgColor theme="5" tint="0.59996337778862885"/>
        </patternFill>
      </fill>
    </dxf>
    <dxf>
      <font>
        <color theme="1"/>
      </font>
      <fill>
        <patternFill patternType="solid">
          <bgColor theme="9" tint="0.79998168889431442"/>
        </patternFill>
      </fill>
    </dxf>
  </dxfs>
  <tableStyles count="0" defaultTableStyle="TableStyleMedium2" defaultPivotStyle="PivotStyleLight16"/>
  <colors>
    <mruColors>
      <color rgb="FFFF373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1E8C6-DBAC-4172-86E3-F3A6EBFDB31F}">
  <sheetPr codeName="Feuil1"/>
  <dimension ref="A2:I22"/>
  <sheetViews>
    <sheetView workbookViewId="0">
      <selection activeCell="E12" sqref="E12"/>
    </sheetView>
  </sheetViews>
  <sheetFormatPr defaultColWidth="11.42578125" defaultRowHeight="14.45"/>
  <cols>
    <col min="7" max="7" width="32.5703125" bestFit="1" customWidth="1"/>
    <col min="9" max="9" width="13.42578125" customWidth="1"/>
  </cols>
  <sheetData>
    <row r="2" spans="1:9">
      <c r="A2" s="3" t="s">
        <v>0</v>
      </c>
      <c r="C2" s="3" t="s">
        <v>1</v>
      </c>
      <c r="E2" s="3" t="s">
        <v>2</v>
      </c>
      <c r="G2" s="3" t="s">
        <v>3</v>
      </c>
      <c r="I2" t="s">
        <v>4</v>
      </c>
    </row>
    <row r="3" spans="1:9">
      <c r="A3" t="s">
        <v>5</v>
      </c>
      <c r="C3" t="s">
        <v>6</v>
      </c>
      <c r="E3" t="s">
        <v>7</v>
      </c>
      <c r="G3" s="38" t="s">
        <v>8</v>
      </c>
      <c r="I3" s="41" t="s">
        <v>9</v>
      </c>
    </row>
    <row r="4" spans="1:9">
      <c r="A4" t="s">
        <v>10</v>
      </c>
      <c r="C4" t="s">
        <v>11</v>
      </c>
      <c r="E4" t="s">
        <v>12</v>
      </c>
      <c r="G4" s="37" t="s">
        <v>13</v>
      </c>
      <c r="I4" s="42" t="s">
        <v>14</v>
      </c>
    </row>
    <row r="5" spans="1:9" ht="18">
      <c r="C5" t="s">
        <v>15</v>
      </c>
      <c r="E5" t="s">
        <v>16</v>
      </c>
      <c r="G5" s="45" t="s">
        <v>17</v>
      </c>
      <c r="I5" s="43" t="s">
        <v>18</v>
      </c>
    </row>
    <row r="6" spans="1:9">
      <c r="C6" t="s">
        <v>19</v>
      </c>
      <c r="G6" s="32" t="s">
        <v>20</v>
      </c>
    </row>
    <row r="7" spans="1:9">
      <c r="C7" t="s">
        <v>21</v>
      </c>
      <c r="G7" s="31" t="s">
        <v>22</v>
      </c>
    </row>
    <row r="8" spans="1:9">
      <c r="C8" t="s">
        <v>23</v>
      </c>
      <c r="G8" s="33" t="s">
        <v>24</v>
      </c>
    </row>
    <row r="9" spans="1:9">
      <c r="C9" t="s">
        <v>25</v>
      </c>
      <c r="G9" s="34" t="s">
        <v>26</v>
      </c>
    </row>
    <row r="10" spans="1:9">
      <c r="C10" t="s">
        <v>27</v>
      </c>
      <c r="G10" s="29" t="s">
        <v>28</v>
      </c>
    </row>
    <row r="11" spans="1:9">
      <c r="C11" t="s">
        <v>29</v>
      </c>
      <c r="G11" s="30" t="s">
        <v>30</v>
      </c>
    </row>
    <row r="12" spans="1:9">
      <c r="G12" s="36" t="s">
        <v>31</v>
      </c>
    </row>
    <row r="13" spans="1:9">
      <c r="G13" s="35" t="s">
        <v>32</v>
      </c>
    </row>
    <row r="14" spans="1:9">
      <c r="G14" s="25" t="s">
        <v>33</v>
      </c>
    </row>
    <row r="15" spans="1:9">
      <c r="G15" s="28" t="s">
        <v>34</v>
      </c>
    </row>
    <row r="16" spans="1:9">
      <c r="G16" s="27" t="s">
        <v>35</v>
      </c>
    </row>
    <row r="17" spans="4:7">
      <c r="G17" s="26" t="s">
        <v>36</v>
      </c>
    </row>
    <row r="22" spans="4:7">
      <c r="D22" t="s">
        <v>37</v>
      </c>
      <c r="G22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2">
    <tabColor rgb="FF92D050"/>
  </sheetPr>
  <dimension ref="A1:Y119"/>
  <sheetViews>
    <sheetView tabSelected="1" topLeftCell="A62" zoomScale="85" zoomScaleNormal="85" zoomScaleSheetLayoutView="70" workbookViewId="0">
      <selection activeCell="F79" sqref="F79"/>
    </sheetView>
  </sheetViews>
  <sheetFormatPr defaultColWidth="11.42578125" defaultRowHeight="14.45" outlineLevelRow="1"/>
  <cols>
    <col min="1" max="1" width="13" style="11" bestFit="1" customWidth="1"/>
    <col min="2" max="2" width="9.42578125" bestFit="1" customWidth="1"/>
    <col min="3" max="3" width="57.5703125" customWidth="1"/>
    <col min="4" max="4" width="4" bestFit="1" customWidth="1"/>
    <col min="6" max="6" width="64.7109375" customWidth="1"/>
    <col min="7" max="7" width="7.7109375" customWidth="1"/>
    <col min="8" max="8" width="9.5703125" bestFit="1" customWidth="1"/>
    <col min="9" max="9" width="12.5703125" bestFit="1" customWidth="1"/>
    <col min="10" max="10" width="7.5703125" bestFit="1" customWidth="1"/>
    <col min="11" max="11" width="9.5703125" customWidth="1"/>
    <col min="12" max="12" width="7.5703125" bestFit="1" customWidth="1"/>
    <col min="13" max="13" width="7.42578125" customWidth="1"/>
    <col min="14" max="14" width="9.42578125" customWidth="1"/>
    <col min="15" max="15" width="10.5703125" bestFit="1" customWidth="1"/>
    <col min="16" max="16" width="10" customWidth="1"/>
    <col min="17" max="17" width="36.140625" customWidth="1"/>
    <col min="18" max="18" width="53.42578125" customWidth="1"/>
  </cols>
  <sheetData>
    <row r="1" spans="1:18" ht="15" customHeight="1" thickBot="1"/>
    <row r="2" spans="1:18">
      <c r="B2" s="4"/>
      <c r="C2" s="8"/>
      <c r="D2" s="8"/>
      <c r="E2" s="8"/>
      <c r="F2" s="8"/>
      <c r="G2" s="8"/>
      <c r="H2" s="78" t="s">
        <v>38</v>
      </c>
      <c r="I2" s="75"/>
      <c r="J2" s="79"/>
      <c r="K2" s="75" t="s">
        <v>39</v>
      </c>
      <c r="L2" s="76"/>
      <c r="M2" s="77"/>
      <c r="N2" s="73" t="s">
        <v>40</v>
      </c>
      <c r="O2" s="74"/>
      <c r="P2" s="5"/>
    </row>
    <row r="3" spans="1:18" ht="16.5" customHeight="1" thickBot="1">
      <c r="A3" s="11" t="s">
        <v>41</v>
      </c>
      <c r="B3" s="80" t="s">
        <v>42</v>
      </c>
      <c r="C3" s="81"/>
      <c r="D3" s="82"/>
      <c r="E3" s="80" t="s">
        <v>43</v>
      </c>
      <c r="F3" s="81"/>
      <c r="G3" s="81"/>
      <c r="H3" s="18" t="s">
        <v>44</v>
      </c>
      <c r="I3" s="1" t="s">
        <v>45</v>
      </c>
      <c r="J3" s="49" t="s">
        <v>46</v>
      </c>
      <c r="K3" s="22" t="s">
        <v>45</v>
      </c>
      <c r="L3" s="14" t="s">
        <v>47</v>
      </c>
      <c r="M3" s="49" t="s">
        <v>46</v>
      </c>
      <c r="N3" s="22" t="s">
        <v>45</v>
      </c>
      <c r="O3" s="1" t="s">
        <v>46</v>
      </c>
      <c r="P3" s="6"/>
      <c r="Q3" s="1" t="s">
        <v>3</v>
      </c>
      <c r="R3" s="1" t="s">
        <v>48</v>
      </c>
    </row>
    <row r="4" spans="1:18" ht="15.75" customHeight="1">
      <c r="A4" s="44"/>
      <c r="B4" s="67" t="s">
        <v>49</v>
      </c>
      <c r="C4" s="55" t="s">
        <v>50</v>
      </c>
      <c r="D4" s="56" t="str">
        <f>HYPERLINK("https://jira.constellation.soprasteria.com/browse/CARTEJEUNE_"&amp;B4,"Jira")</f>
        <v>Jira</v>
      </c>
      <c r="E4" s="55"/>
      <c r="F4" s="57"/>
      <c r="G4" s="58"/>
      <c r="H4" s="70"/>
      <c r="I4" s="71">
        <f>SUM(I5:I23)</f>
        <v>43</v>
      </c>
      <c r="J4" s="72">
        <f>SUM(J5:J23)</f>
        <v>24</v>
      </c>
      <c r="K4" s="62"/>
      <c r="L4" s="63"/>
      <c r="M4" s="64"/>
      <c r="N4" s="65">
        <f>IFERROR(I4+K4,"N/A")</f>
        <v>43</v>
      </c>
      <c r="O4" s="66">
        <f>IFERROR(J4+M4,"N/A")</f>
        <v>24</v>
      </c>
      <c r="P4" s="20">
        <f>IF(N4=0,0,(N4-O4)/N4)</f>
        <v>0.44186046511627908</v>
      </c>
      <c r="R4" s="47"/>
    </row>
    <row r="5" spans="1:18" ht="15.75" customHeight="1" outlineLevel="1">
      <c r="B5" s="12"/>
      <c r="C5" s="13"/>
      <c r="D5" s="52" t="str">
        <f t="shared" ref="D5:D93" si="0">HYPERLINK("https://jira.constellation.soprasteria.com/browse/CARTEJEUNE_"&amp;B5,"Jira")</f>
        <v>Jira</v>
      </c>
      <c r="E5" s="13" t="s">
        <v>51</v>
      </c>
      <c r="F5" s="13" t="s">
        <v>52</v>
      </c>
      <c r="G5" s="51" t="str">
        <f t="shared" ref="G5:G82" si="1">HYPERLINK("https://jira.constellation.soprasteria.com/browse/CARTEJEUNE_"&amp;E5,"Jira")</f>
        <v>Jira</v>
      </c>
      <c r="H5" s="24" t="s">
        <v>23</v>
      </c>
      <c r="I5" s="23">
        <v>1</v>
      </c>
      <c r="J5" s="48">
        <v>0</v>
      </c>
      <c r="K5" s="19"/>
      <c r="L5" s="16"/>
      <c r="M5" s="50"/>
      <c r="N5" s="40">
        <f t="shared" ref="N5:N23" si="2">IFERROR(I5+K5,"N/A")</f>
        <v>1</v>
      </c>
      <c r="O5" s="17">
        <f t="shared" ref="O5:O26" si="3">IFERROR(J5+M5,"N/A")</f>
        <v>0</v>
      </c>
      <c r="P5" s="20">
        <f t="shared" ref="P5:P26" si="4">IF(N5=0,0,(N5-O5)/N5)</f>
        <v>1</v>
      </c>
      <c r="R5" s="47"/>
    </row>
    <row r="6" spans="1:18" ht="15.75" customHeight="1" outlineLevel="1">
      <c r="B6" s="12"/>
      <c r="C6" s="13"/>
      <c r="D6" s="52" t="str">
        <f t="shared" si="0"/>
        <v>Jira</v>
      </c>
      <c r="E6" s="13" t="s">
        <v>53</v>
      </c>
      <c r="F6" s="13" t="s">
        <v>54</v>
      </c>
      <c r="G6" s="51" t="str">
        <f t="shared" si="1"/>
        <v>Jira</v>
      </c>
      <c r="H6" s="24" t="s">
        <v>23</v>
      </c>
      <c r="I6" s="23">
        <v>1</v>
      </c>
      <c r="J6" s="48">
        <v>0</v>
      </c>
      <c r="K6" s="19"/>
      <c r="L6" s="16"/>
      <c r="M6" s="50"/>
      <c r="N6" s="40">
        <f t="shared" si="2"/>
        <v>1</v>
      </c>
      <c r="O6" s="17">
        <f t="shared" si="3"/>
        <v>0</v>
      </c>
      <c r="P6" s="20">
        <f t="shared" si="4"/>
        <v>1</v>
      </c>
      <c r="R6" s="47"/>
    </row>
    <row r="7" spans="1:18" ht="15.75" customHeight="1" outlineLevel="1">
      <c r="B7" s="12"/>
      <c r="C7" s="13"/>
      <c r="D7" s="52" t="str">
        <f t="shared" si="0"/>
        <v>Jira</v>
      </c>
      <c r="E7" s="13" t="s">
        <v>55</v>
      </c>
      <c r="F7" s="13" t="s">
        <v>56</v>
      </c>
      <c r="G7" s="51" t="str">
        <f t="shared" si="1"/>
        <v>Jira</v>
      </c>
      <c r="H7" s="24" t="s">
        <v>15</v>
      </c>
      <c r="I7" s="23">
        <v>0.5</v>
      </c>
      <c r="J7" s="48">
        <v>0</v>
      </c>
      <c r="K7" s="19"/>
      <c r="L7" s="16"/>
      <c r="M7" s="50"/>
      <c r="N7" s="40">
        <f t="shared" si="2"/>
        <v>0.5</v>
      </c>
      <c r="O7" s="17">
        <f t="shared" si="3"/>
        <v>0</v>
      </c>
      <c r="P7" s="20">
        <f t="shared" si="4"/>
        <v>1</v>
      </c>
      <c r="Q7" s="46"/>
    </row>
    <row r="8" spans="1:18" ht="15.75" customHeight="1" outlineLevel="1">
      <c r="B8" s="12"/>
      <c r="C8" s="13"/>
      <c r="D8" s="52" t="str">
        <f t="shared" si="0"/>
        <v>Jira</v>
      </c>
      <c r="E8" s="13" t="s">
        <v>57</v>
      </c>
      <c r="F8" s="13" t="s">
        <v>58</v>
      </c>
      <c r="G8" s="51" t="str">
        <f t="shared" si="1"/>
        <v>Jira</v>
      </c>
      <c r="H8" s="24" t="s">
        <v>23</v>
      </c>
      <c r="I8" s="23">
        <v>2</v>
      </c>
      <c r="J8" s="48">
        <v>0</v>
      </c>
      <c r="K8" s="19"/>
      <c r="L8" s="16"/>
      <c r="M8" s="50"/>
      <c r="N8" s="40">
        <f t="shared" si="2"/>
        <v>2</v>
      </c>
      <c r="O8" s="17">
        <f t="shared" si="3"/>
        <v>0</v>
      </c>
      <c r="P8" s="20">
        <f t="shared" si="4"/>
        <v>1</v>
      </c>
      <c r="Q8" s="46"/>
    </row>
    <row r="9" spans="1:18" ht="15.75" customHeight="1" outlineLevel="1">
      <c r="B9" s="12"/>
      <c r="C9" s="13"/>
      <c r="D9" s="52" t="str">
        <f t="shared" si="0"/>
        <v>Jira</v>
      </c>
      <c r="E9" s="13" t="s">
        <v>59</v>
      </c>
      <c r="F9" s="13" t="s">
        <v>60</v>
      </c>
      <c r="G9" s="51" t="str">
        <f t="shared" si="1"/>
        <v>Jira</v>
      </c>
      <c r="H9" s="24" t="s">
        <v>23</v>
      </c>
      <c r="I9" s="23">
        <v>0.5</v>
      </c>
      <c r="J9" s="48">
        <v>0</v>
      </c>
      <c r="K9" s="19"/>
      <c r="L9" s="16"/>
      <c r="M9" s="50"/>
      <c r="N9" s="40">
        <f t="shared" si="2"/>
        <v>0.5</v>
      </c>
      <c r="O9" s="17">
        <f t="shared" si="3"/>
        <v>0</v>
      </c>
      <c r="P9" s="20">
        <f t="shared" si="4"/>
        <v>1</v>
      </c>
      <c r="Q9" s="46"/>
    </row>
    <row r="10" spans="1:18" ht="15.75" customHeight="1" outlineLevel="1">
      <c r="B10" s="12"/>
      <c r="C10" s="13"/>
      <c r="D10" s="52" t="str">
        <f t="shared" si="0"/>
        <v>Jira</v>
      </c>
      <c r="E10" s="13" t="s">
        <v>61</v>
      </c>
      <c r="F10" s="13" t="s">
        <v>62</v>
      </c>
      <c r="G10" s="51" t="str">
        <f t="shared" si="1"/>
        <v>Jira</v>
      </c>
      <c r="H10" s="24" t="s">
        <v>27</v>
      </c>
      <c r="I10" s="23">
        <v>4</v>
      </c>
      <c r="J10" s="48">
        <v>0</v>
      </c>
      <c r="K10" s="19"/>
      <c r="L10" s="16"/>
      <c r="M10" s="50"/>
      <c r="N10" s="40">
        <f t="shared" si="2"/>
        <v>4</v>
      </c>
      <c r="O10" s="17">
        <f t="shared" si="3"/>
        <v>0</v>
      </c>
      <c r="P10" s="20">
        <f t="shared" si="4"/>
        <v>1</v>
      </c>
    </row>
    <row r="11" spans="1:18" ht="15.75" customHeight="1" outlineLevel="1">
      <c r="B11" s="12"/>
      <c r="C11" s="13"/>
      <c r="D11" s="52" t="str">
        <f t="shared" si="0"/>
        <v>Jira</v>
      </c>
      <c r="E11" s="13" t="s">
        <v>63</v>
      </c>
      <c r="F11" s="13" t="s">
        <v>64</v>
      </c>
      <c r="G11" s="51" t="str">
        <f t="shared" si="1"/>
        <v>Jira</v>
      </c>
      <c r="H11" s="24"/>
      <c r="I11" s="23">
        <v>1</v>
      </c>
      <c r="J11" s="48">
        <v>1</v>
      </c>
      <c r="K11" s="19"/>
      <c r="L11" s="16"/>
      <c r="M11" s="50"/>
      <c r="N11" s="40">
        <f t="shared" si="2"/>
        <v>1</v>
      </c>
      <c r="O11" s="17">
        <f t="shared" si="3"/>
        <v>1</v>
      </c>
      <c r="P11" s="20">
        <f t="shared" si="4"/>
        <v>0</v>
      </c>
    </row>
    <row r="12" spans="1:18" ht="15.75" customHeight="1" outlineLevel="1">
      <c r="B12" s="12"/>
      <c r="C12" s="13"/>
      <c r="D12" s="52" t="str">
        <f t="shared" si="0"/>
        <v>Jira</v>
      </c>
      <c r="E12" s="13" t="s">
        <v>65</v>
      </c>
      <c r="F12" s="13" t="s">
        <v>66</v>
      </c>
      <c r="G12" s="51" t="str">
        <f t="shared" si="1"/>
        <v>Jira</v>
      </c>
      <c r="H12" s="24" t="s">
        <v>21</v>
      </c>
      <c r="I12" s="23">
        <v>0.5</v>
      </c>
      <c r="J12" s="48">
        <v>0</v>
      </c>
      <c r="K12" s="19"/>
      <c r="L12" s="16"/>
      <c r="M12" s="50"/>
      <c r="N12" s="40">
        <f t="shared" si="2"/>
        <v>0.5</v>
      </c>
      <c r="O12" s="17">
        <f t="shared" si="3"/>
        <v>0</v>
      </c>
      <c r="P12" s="20">
        <f t="shared" si="4"/>
        <v>1</v>
      </c>
    </row>
    <row r="13" spans="1:18" ht="15.75" customHeight="1" outlineLevel="1">
      <c r="B13" s="12"/>
      <c r="C13" s="13"/>
      <c r="D13" s="52" t="str">
        <f t="shared" si="0"/>
        <v>Jira</v>
      </c>
      <c r="E13" s="13" t="s">
        <v>67</v>
      </c>
      <c r="F13" s="13" t="s">
        <v>68</v>
      </c>
      <c r="G13" s="51" t="str">
        <f t="shared" si="1"/>
        <v>Jira</v>
      </c>
      <c r="H13" s="24" t="s">
        <v>23</v>
      </c>
      <c r="I13" s="23">
        <v>0.5</v>
      </c>
      <c r="J13" s="48">
        <v>0</v>
      </c>
      <c r="K13" s="19"/>
      <c r="L13" s="16"/>
      <c r="M13" s="50"/>
      <c r="N13" s="40">
        <f t="shared" si="2"/>
        <v>0.5</v>
      </c>
      <c r="O13" s="17">
        <f t="shared" si="3"/>
        <v>0</v>
      </c>
      <c r="P13" s="20">
        <f t="shared" si="4"/>
        <v>1</v>
      </c>
    </row>
    <row r="14" spans="1:18" ht="15.75" customHeight="1" outlineLevel="1">
      <c r="B14" s="12"/>
      <c r="C14" s="13"/>
      <c r="D14" s="52" t="str">
        <f t="shared" si="0"/>
        <v>Jira</v>
      </c>
      <c r="E14" s="13" t="s">
        <v>69</v>
      </c>
      <c r="F14" s="13" t="s">
        <v>70</v>
      </c>
      <c r="G14" s="51" t="str">
        <f t="shared" si="1"/>
        <v>Jira</v>
      </c>
      <c r="H14" s="24" t="s">
        <v>15</v>
      </c>
      <c r="I14" s="23"/>
      <c r="J14" s="48"/>
      <c r="K14" s="19"/>
      <c r="L14" s="16"/>
      <c r="M14" s="50"/>
      <c r="N14" s="40">
        <f t="shared" si="2"/>
        <v>0</v>
      </c>
      <c r="O14" s="17">
        <f t="shared" si="3"/>
        <v>0</v>
      </c>
      <c r="P14" s="20">
        <f t="shared" si="4"/>
        <v>0</v>
      </c>
    </row>
    <row r="15" spans="1:18" ht="15.75" customHeight="1" outlineLevel="1">
      <c r="B15" s="12"/>
      <c r="C15" s="13"/>
      <c r="D15" s="52" t="str">
        <f t="shared" si="0"/>
        <v>Jira</v>
      </c>
      <c r="E15" s="13" t="s">
        <v>71</v>
      </c>
      <c r="F15" s="13" t="s">
        <v>72</v>
      </c>
      <c r="G15" s="51" t="str">
        <f t="shared" si="1"/>
        <v>Jira</v>
      </c>
      <c r="H15" s="24" t="s">
        <v>21</v>
      </c>
      <c r="I15" s="23">
        <v>1</v>
      </c>
      <c r="J15" s="48">
        <v>0</v>
      </c>
      <c r="K15" s="19"/>
      <c r="L15" s="16"/>
      <c r="M15" s="50"/>
      <c r="N15" s="40">
        <f t="shared" si="2"/>
        <v>1</v>
      </c>
      <c r="O15" s="17">
        <f t="shared" si="3"/>
        <v>0</v>
      </c>
      <c r="P15" s="20">
        <f t="shared" si="4"/>
        <v>1</v>
      </c>
    </row>
    <row r="16" spans="1:18" ht="15.75" customHeight="1" outlineLevel="1">
      <c r="B16" s="12"/>
      <c r="C16" s="13"/>
      <c r="D16" s="52" t="str">
        <f t="shared" si="0"/>
        <v>Jira</v>
      </c>
      <c r="E16" s="13" t="s">
        <v>73</v>
      </c>
      <c r="F16" s="13" t="s">
        <v>74</v>
      </c>
      <c r="G16" s="51" t="str">
        <f t="shared" si="1"/>
        <v>Jira</v>
      </c>
      <c r="H16" s="24" t="s">
        <v>11</v>
      </c>
      <c r="I16" s="23">
        <v>0.5</v>
      </c>
      <c r="J16" s="48">
        <v>0.5</v>
      </c>
      <c r="K16" s="19"/>
      <c r="L16" s="16"/>
      <c r="M16" s="50"/>
      <c r="N16" s="40">
        <f t="shared" si="2"/>
        <v>0.5</v>
      </c>
      <c r="O16" s="17">
        <f t="shared" si="3"/>
        <v>0.5</v>
      </c>
      <c r="P16" s="20">
        <f t="shared" si="4"/>
        <v>0</v>
      </c>
    </row>
    <row r="17" spans="1:16" ht="15.75" customHeight="1" outlineLevel="1">
      <c r="B17" s="12"/>
      <c r="C17" s="13"/>
      <c r="D17" s="52" t="str">
        <f t="shared" si="0"/>
        <v>Jira</v>
      </c>
      <c r="E17" s="13" t="s">
        <v>75</v>
      </c>
      <c r="F17" s="13" t="s">
        <v>76</v>
      </c>
      <c r="G17" s="51" t="str">
        <f t="shared" si="1"/>
        <v>Jira</v>
      </c>
      <c r="H17" s="24" t="s">
        <v>21</v>
      </c>
      <c r="I17" s="23">
        <v>3</v>
      </c>
      <c r="J17" s="48">
        <v>0</v>
      </c>
      <c r="K17" s="19"/>
      <c r="L17" s="16"/>
      <c r="M17" s="50"/>
      <c r="N17" s="40">
        <f t="shared" si="2"/>
        <v>3</v>
      </c>
      <c r="O17" s="17">
        <f t="shared" si="3"/>
        <v>0</v>
      </c>
      <c r="P17" s="20">
        <f t="shared" si="4"/>
        <v>1</v>
      </c>
    </row>
    <row r="18" spans="1:16" ht="15.75" customHeight="1" outlineLevel="1">
      <c r="B18" s="12"/>
      <c r="C18" s="13"/>
      <c r="D18" s="52" t="str">
        <f t="shared" si="0"/>
        <v>Jira</v>
      </c>
      <c r="E18" s="13" t="s">
        <v>77</v>
      </c>
      <c r="F18" s="13" t="s">
        <v>78</v>
      </c>
      <c r="G18" s="51" t="str">
        <f t="shared" si="1"/>
        <v>Jira</v>
      </c>
      <c r="H18" s="24" t="s">
        <v>23</v>
      </c>
      <c r="I18" s="23">
        <v>10</v>
      </c>
      <c r="J18" s="48">
        <v>5</v>
      </c>
      <c r="K18" s="19"/>
      <c r="L18" s="16"/>
      <c r="M18" s="50"/>
      <c r="N18" s="40">
        <f t="shared" si="2"/>
        <v>10</v>
      </c>
      <c r="O18" s="17">
        <f t="shared" si="3"/>
        <v>5</v>
      </c>
      <c r="P18" s="20">
        <f t="shared" si="4"/>
        <v>0.5</v>
      </c>
    </row>
    <row r="19" spans="1:16" ht="15.75" customHeight="1" outlineLevel="1">
      <c r="B19" s="12"/>
      <c r="C19" s="13"/>
      <c r="D19" s="52" t="str">
        <f t="shared" si="0"/>
        <v>Jira</v>
      </c>
      <c r="E19" s="13" t="s">
        <v>79</v>
      </c>
      <c r="F19" s="13" t="s">
        <v>80</v>
      </c>
      <c r="G19" s="51" t="str">
        <f t="shared" si="1"/>
        <v>Jira</v>
      </c>
      <c r="H19" s="24"/>
      <c r="I19" s="23">
        <v>0.5</v>
      </c>
      <c r="J19" s="48">
        <v>0.5</v>
      </c>
      <c r="K19" s="19"/>
      <c r="L19" s="16"/>
      <c r="M19" s="50"/>
      <c r="N19" s="40">
        <f t="shared" si="2"/>
        <v>0.5</v>
      </c>
      <c r="O19" s="17">
        <f t="shared" si="3"/>
        <v>0.5</v>
      </c>
      <c r="P19" s="20">
        <f t="shared" si="4"/>
        <v>0</v>
      </c>
    </row>
    <row r="20" spans="1:16" ht="15.75" customHeight="1" outlineLevel="1">
      <c r="B20" s="12"/>
      <c r="C20" s="13"/>
      <c r="D20" s="52" t="str">
        <f t="shared" si="0"/>
        <v>Jira</v>
      </c>
      <c r="E20" s="13" t="s">
        <v>81</v>
      </c>
      <c r="F20" s="13" t="s">
        <v>82</v>
      </c>
      <c r="G20" s="51" t="str">
        <f t="shared" si="1"/>
        <v>Jira</v>
      </c>
      <c r="H20" s="24"/>
      <c r="I20" s="23">
        <v>2</v>
      </c>
      <c r="J20" s="48">
        <v>2</v>
      </c>
      <c r="K20" s="19"/>
      <c r="L20" s="16"/>
      <c r="M20" s="50"/>
      <c r="N20" s="40">
        <f t="shared" si="2"/>
        <v>2</v>
      </c>
      <c r="O20" s="17">
        <f t="shared" si="3"/>
        <v>2</v>
      </c>
      <c r="P20" s="20">
        <f t="shared" si="4"/>
        <v>0</v>
      </c>
    </row>
    <row r="21" spans="1:16" ht="15.75" customHeight="1" outlineLevel="1">
      <c r="B21" s="12"/>
      <c r="C21" s="13"/>
      <c r="D21" s="52" t="str">
        <f t="shared" si="0"/>
        <v>Jira</v>
      </c>
      <c r="E21" s="13" t="s">
        <v>83</v>
      </c>
      <c r="F21" s="13" t="s">
        <v>84</v>
      </c>
      <c r="G21" s="51" t="str">
        <f t="shared" si="1"/>
        <v>Jira</v>
      </c>
      <c r="H21" s="24"/>
      <c r="I21" s="23">
        <v>4</v>
      </c>
      <c r="J21" s="48">
        <v>4</v>
      </c>
      <c r="K21" s="19"/>
      <c r="L21" s="16"/>
      <c r="M21" s="50"/>
      <c r="N21" s="40">
        <f t="shared" si="2"/>
        <v>4</v>
      </c>
      <c r="O21" s="17">
        <f t="shared" si="3"/>
        <v>4</v>
      </c>
      <c r="P21" s="20">
        <f t="shared" si="4"/>
        <v>0</v>
      </c>
    </row>
    <row r="22" spans="1:16" ht="15.75" customHeight="1" outlineLevel="1">
      <c r="B22" s="12"/>
      <c r="C22" s="13"/>
      <c r="D22" s="52" t="str">
        <f t="shared" si="0"/>
        <v>Jira</v>
      </c>
      <c r="E22" s="13" t="s">
        <v>85</v>
      </c>
      <c r="F22" s="13" t="s">
        <v>86</v>
      </c>
      <c r="G22" s="51" t="str">
        <f t="shared" si="1"/>
        <v>Jira</v>
      </c>
      <c r="H22" s="24" t="s">
        <v>23</v>
      </c>
      <c r="I22" s="23">
        <v>3</v>
      </c>
      <c r="J22" s="48">
        <v>3</v>
      </c>
      <c r="K22" s="19"/>
      <c r="L22" s="16"/>
      <c r="M22" s="50"/>
      <c r="N22" s="40">
        <f t="shared" si="2"/>
        <v>3</v>
      </c>
      <c r="O22" s="17">
        <f t="shared" si="3"/>
        <v>3</v>
      </c>
      <c r="P22" s="20">
        <f t="shared" si="4"/>
        <v>0</v>
      </c>
    </row>
    <row r="23" spans="1:16" ht="15.75" customHeight="1" outlineLevel="1">
      <c r="B23" s="12"/>
      <c r="C23" s="13"/>
      <c r="D23" s="52" t="str">
        <f t="shared" si="0"/>
        <v>Jira</v>
      </c>
      <c r="E23" s="13" t="s">
        <v>87</v>
      </c>
      <c r="F23" s="13" t="s">
        <v>88</v>
      </c>
      <c r="G23" s="51" t="str">
        <f t="shared" si="1"/>
        <v>Jira</v>
      </c>
      <c r="H23" s="24"/>
      <c r="I23" s="23">
        <v>8</v>
      </c>
      <c r="J23" s="48">
        <v>8</v>
      </c>
      <c r="K23" s="19"/>
      <c r="L23" s="16"/>
      <c r="M23" s="50"/>
      <c r="N23" s="40">
        <f t="shared" si="2"/>
        <v>8</v>
      </c>
      <c r="O23" s="17">
        <f t="shared" si="3"/>
        <v>8</v>
      </c>
      <c r="P23" s="20">
        <f t="shared" si="4"/>
        <v>0</v>
      </c>
    </row>
    <row r="24" spans="1:16" ht="15.75" customHeight="1">
      <c r="A24" s="44" t="s">
        <v>89</v>
      </c>
      <c r="B24" s="68" t="s">
        <v>90</v>
      </c>
      <c r="C24" s="57" t="s">
        <v>91</v>
      </c>
      <c r="D24" s="56" t="str">
        <f t="shared" si="0"/>
        <v>Jira</v>
      </c>
      <c r="E24" s="57"/>
      <c r="F24" s="57"/>
      <c r="G24" s="58"/>
      <c r="H24" s="59"/>
      <c r="I24" s="60">
        <f>SUM(I25:I26)</f>
        <v>2</v>
      </c>
      <c r="J24" s="60">
        <f>SUM(J25:J26)</f>
        <v>0</v>
      </c>
      <c r="K24" s="62"/>
      <c r="L24" s="63"/>
      <c r="M24" s="64"/>
      <c r="N24" s="65">
        <f t="shared" ref="N24:N29" si="5">IFERROR(I24+K24,"N/A")</f>
        <v>2</v>
      </c>
      <c r="O24" s="66">
        <f t="shared" si="3"/>
        <v>0</v>
      </c>
      <c r="P24" s="20">
        <f t="shared" si="4"/>
        <v>1</v>
      </c>
    </row>
    <row r="25" spans="1:16" ht="15.75" customHeight="1">
      <c r="A25" t="s">
        <v>92</v>
      </c>
      <c r="B25" s="12"/>
      <c r="C25" s="13"/>
      <c r="D25" s="52"/>
      <c r="E25" s="13" t="s">
        <v>93</v>
      </c>
      <c r="F25" s="13" t="s">
        <v>94</v>
      </c>
      <c r="G25" s="51" t="str">
        <f>HYPERLINK("https://jira.constellation.soprasteria.com/browse/CARTEJEUNE_"&amp;E25,"Jira")</f>
        <v>Jira</v>
      </c>
      <c r="H25" s="24" t="s">
        <v>25</v>
      </c>
      <c r="I25" s="23">
        <v>1</v>
      </c>
      <c r="J25" s="48">
        <v>0</v>
      </c>
      <c r="K25" s="19"/>
      <c r="L25" s="16"/>
      <c r="M25" s="50"/>
      <c r="N25" s="40">
        <f t="shared" si="5"/>
        <v>1</v>
      </c>
      <c r="O25" s="17">
        <f t="shared" si="3"/>
        <v>0</v>
      </c>
      <c r="P25" s="20">
        <f t="shared" si="4"/>
        <v>1</v>
      </c>
    </row>
    <row r="26" spans="1:16" ht="15.75" customHeight="1">
      <c r="A26" t="s">
        <v>95</v>
      </c>
      <c r="B26" s="12"/>
      <c r="C26" s="13"/>
      <c r="D26" s="52"/>
      <c r="E26" s="13" t="s">
        <v>96</v>
      </c>
      <c r="F26" s="13" t="s">
        <v>97</v>
      </c>
      <c r="G26" s="51" t="str">
        <f t="shared" si="1"/>
        <v>Jira</v>
      </c>
      <c r="H26" s="24" t="s">
        <v>23</v>
      </c>
      <c r="I26" s="23">
        <v>1</v>
      </c>
      <c r="J26" s="48">
        <v>0</v>
      </c>
      <c r="K26" s="19"/>
      <c r="L26" s="16"/>
      <c r="M26" s="50"/>
      <c r="N26" s="40">
        <f t="shared" si="5"/>
        <v>1</v>
      </c>
      <c r="O26" s="17">
        <f t="shared" si="3"/>
        <v>0</v>
      </c>
      <c r="P26" s="20">
        <f t="shared" si="4"/>
        <v>1</v>
      </c>
    </row>
    <row r="27" spans="1:16" ht="15.75" customHeight="1">
      <c r="A27" s="44" t="s">
        <v>92</v>
      </c>
      <c r="B27" s="68" t="s">
        <v>98</v>
      </c>
      <c r="C27" s="57" t="s">
        <v>99</v>
      </c>
      <c r="D27" s="56" t="str">
        <f>HYPERLINK("https://jira.constellation.soprasteria.com/browse/CARTEJEUNE_"&amp;B27,"Jira")</f>
        <v>Jira</v>
      </c>
      <c r="E27" s="57"/>
      <c r="F27" s="57"/>
      <c r="G27" s="58"/>
      <c r="H27" s="59"/>
      <c r="I27" s="60">
        <f>SUM(I28:I31)</f>
        <v>6.75</v>
      </c>
      <c r="J27" s="60">
        <f>SUM(J28:J31)</f>
        <v>2</v>
      </c>
      <c r="K27" s="62"/>
      <c r="L27" s="63"/>
      <c r="M27" s="64"/>
      <c r="N27" s="65">
        <f t="shared" si="5"/>
        <v>6.75</v>
      </c>
      <c r="O27" s="66">
        <f>IFERROR(J27+M27,"N/A")</f>
        <v>2</v>
      </c>
      <c r="P27" s="20">
        <f>IF(N27=0,0,(N27-O27)/N27)</f>
        <v>0.70370370370370372</v>
      </c>
    </row>
    <row r="28" spans="1:16" ht="15.75" customHeight="1">
      <c r="A28" s="44" t="s">
        <v>92</v>
      </c>
      <c r="B28" s="12"/>
      <c r="C28" s="13"/>
      <c r="D28" s="52"/>
      <c r="E28" s="13" t="s">
        <v>100</v>
      </c>
      <c r="F28" s="13" t="s">
        <v>101</v>
      </c>
      <c r="G28" s="51" t="str">
        <f>HYPERLINK("https://jira.constellation.soprasteria.com/browse/CARTEJEUNE_"&amp;E28,"Jira")</f>
        <v>Jira</v>
      </c>
      <c r="H28" s="24" t="s">
        <v>21</v>
      </c>
      <c r="I28" s="23">
        <v>3</v>
      </c>
      <c r="J28" s="48">
        <v>0</v>
      </c>
      <c r="K28" s="19"/>
      <c r="L28" s="16"/>
      <c r="M28" s="50"/>
      <c r="N28" s="40">
        <f t="shared" si="5"/>
        <v>3</v>
      </c>
      <c r="O28" s="17">
        <f>IFERROR(J28+M28,"N/A")</f>
        <v>0</v>
      </c>
      <c r="P28" s="20">
        <f>IF(N28=0,0,(N28-O28)/N28)</f>
        <v>1</v>
      </c>
    </row>
    <row r="29" spans="1:16" ht="15.75" customHeight="1">
      <c r="A29" s="44"/>
      <c r="B29" s="12"/>
      <c r="C29" s="13"/>
      <c r="D29" s="52"/>
      <c r="E29" s="13" t="s">
        <v>102</v>
      </c>
      <c r="F29" s="13" t="s">
        <v>103</v>
      </c>
      <c r="G29" s="51"/>
      <c r="H29" s="24" t="s">
        <v>23</v>
      </c>
      <c r="I29" s="23">
        <v>0.5</v>
      </c>
      <c r="J29" s="48">
        <v>0</v>
      </c>
      <c r="K29" s="19"/>
      <c r="L29" s="16"/>
      <c r="M29" s="50"/>
      <c r="N29" s="40">
        <f t="shared" si="5"/>
        <v>0.5</v>
      </c>
      <c r="O29" s="17">
        <f>IFERROR(J29+M29,"N/A")</f>
        <v>0</v>
      </c>
      <c r="P29" s="20">
        <f>IF(N29=0,0,(N29-O29)/N29)</f>
        <v>1</v>
      </c>
    </row>
    <row r="30" spans="1:16" ht="15.75" customHeight="1">
      <c r="A30" s="44"/>
      <c r="B30" s="12"/>
      <c r="C30" s="13"/>
      <c r="D30" s="52"/>
      <c r="E30" s="13" t="s">
        <v>104</v>
      </c>
      <c r="F30" s="13" t="s">
        <v>105</v>
      </c>
      <c r="G30" s="51"/>
      <c r="H30" s="24" t="s">
        <v>23</v>
      </c>
      <c r="I30" s="23">
        <v>1.25</v>
      </c>
      <c r="J30" s="48">
        <v>0</v>
      </c>
      <c r="K30" s="19"/>
      <c r="L30" s="16"/>
      <c r="M30" s="50"/>
      <c r="N30" s="40">
        <f t="shared" ref="N30" si="6">IFERROR(I30+K30,"N/A")</f>
        <v>1.25</v>
      </c>
      <c r="O30" s="17">
        <f>IFERROR(J30+M30,"N/A")</f>
        <v>0</v>
      </c>
      <c r="P30" s="20">
        <f>IF(N30=0,0,(N30-O30)/N30)</f>
        <v>1</v>
      </c>
    </row>
    <row r="31" spans="1:16" ht="15.75" customHeight="1">
      <c r="A31" s="44"/>
      <c r="B31" s="12"/>
      <c r="C31" s="13"/>
      <c r="D31" s="52"/>
      <c r="E31" s="13" t="s">
        <v>106</v>
      </c>
      <c r="F31" s="13" t="s">
        <v>107</v>
      </c>
      <c r="G31" s="51" t="str">
        <f>HYPERLINK("https://jira.constellation.soprasteria.com/browse/CARTEJEUNE_"&amp;E31,"Jira")</f>
        <v>Jira</v>
      </c>
      <c r="H31" s="24" t="s">
        <v>21</v>
      </c>
      <c r="I31" s="23">
        <v>2</v>
      </c>
      <c r="J31" s="48">
        <v>2</v>
      </c>
      <c r="K31" s="19"/>
      <c r="L31" s="16"/>
      <c r="M31" s="50"/>
      <c r="N31" s="40">
        <f>IFERROR(I31+K31,"N/A")</f>
        <v>2</v>
      </c>
      <c r="O31" s="17">
        <f>IFERROR(J31+M31,"N/A")</f>
        <v>2</v>
      </c>
      <c r="P31" s="20">
        <f>IF(N31=0,0,(N31-O31)/N31)</f>
        <v>0</v>
      </c>
    </row>
    <row r="32" spans="1:16" ht="15.75" customHeight="1">
      <c r="A32" t="s">
        <v>92</v>
      </c>
      <c r="B32" s="68" t="s">
        <v>108</v>
      </c>
      <c r="C32" s="57" t="s">
        <v>109</v>
      </c>
      <c r="D32" s="56" t="str">
        <f t="shared" si="0"/>
        <v>Jira</v>
      </c>
      <c r="E32" s="57"/>
      <c r="F32" s="57"/>
      <c r="G32" s="58"/>
      <c r="H32" s="59" t="s">
        <v>21</v>
      </c>
      <c r="I32" s="60">
        <v>1</v>
      </c>
      <c r="J32" s="61">
        <v>0</v>
      </c>
      <c r="K32" s="62"/>
      <c r="L32" s="63"/>
      <c r="M32" s="64"/>
      <c r="N32" s="65">
        <f t="shared" ref="N32:N93" si="7">IFERROR(I32+K32,"N/A")</f>
        <v>1</v>
      </c>
      <c r="O32" s="66">
        <f t="shared" ref="O32:O40" si="8">IFERROR(J32+M32,"N/A")</f>
        <v>0</v>
      </c>
      <c r="P32" s="20">
        <f t="shared" ref="P32:P40" si="9">IF(N32=0,0,(N32-O32)/N32)</f>
        <v>1</v>
      </c>
    </row>
    <row r="33" spans="1:25" ht="15.75" customHeight="1">
      <c r="A33" t="s">
        <v>92</v>
      </c>
      <c r="B33" s="68" t="s">
        <v>110</v>
      </c>
      <c r="C33" s="57" t="s">
        <v>111</v>
      </c>
      <c r="D33" s="56" t="str">
        <f t="shared" si="0"/>
        <v>Jira</v>
      </c>
      <c r="E33" s="57"/>
      <c r="F33" s="57"/>
      <c r="G33" s="58"/>
      <c r="H33" s="59" t="s">
        <v>21</v>
      </c>
      <c r="I33" s="60">
        <v>1</v>
      </c>
      <c r="J33" s="61">
        <v>0</v>
      </c>
      <c r="K33" s="62"/>
      <c r="L33" s="63"/>
      <c r="M33" s="64"/>
      <c r="N33" s="65">
        <f t="shared" si="7"/>
        <v>1</v>
      </c>
      <c r="O33" s="66">
        <f t="shared" si="8"/>
        <v>0</v>
      </c>
      <c r="P33" s="20">
        <f t="shared" si="9"/>
        <v>1</v>
      </c>
    </row>
    <row r="34" spans="1:25" ht="15.75" customHeight="1">
      <c r="A34" t="s">
        <v>92</v>
      </c>
      <c r="B34" s="68" t="s">
        <v>112</v>
      </c>
      <c r="C34" s="57" t="s">
        <v>113</v>
      </c>
      <c r="D34" s="56" t="s">
        <v>114</v>
      </c>
      <c r="E34" s="57"/>
      <c r="F34" s="57"/>
      <c r="G34" s="58"/>
      <c r="H34" s="59" t="s">
        <v>21</v>
      </c>
      <c r="I34" s="60">
        <v>1</v>
      </c>
      <c r="J34" s="61">
        <f>J35</f>
        <v>0</v>
      </c>
      <c r="K34" s="62"/>
      <c r="L34" s="63"/>
      <c r="M34" s="64"/>
      <c r="N34" s="65">
        <f t="shared" si="7"/>
        <v>1</v>
      </c>
      <c r="O34" s="66">
        <f t="shared" si="8"/>
        <v>0</v>
      </c>
      <c r="P34" s="20">
        <f t="shared" si="9"/>
        <v>1</v>
      </c>
    </row>
    <row r="35" spans="1:25" ht="15.75" customHeight="1">
      <c r="A35" t="s">
        <v>92</v>
      </c>
      <c r="B35" s="12"/>
      <c r="C35" s="13"/>
      <c r="D35" s="52"/>
      <c r="E35" s="13" t="s">
        <v>115</v>
      </c>
      <c r="F35" s="13" t="s">
        <v>116</v>
      </c>
      <c r="G35" s="51" t="str">
        <f t="shared" si="1"/>
        <v>Jira</v>
      </c>
      <c r="H35" s="24" t="s">
        <v>21</v>
      </c>
      <c r="I35" s="23">
        <v>2</v>
      </c>
      <c r="J35" s="48">
        <v>0</v>
      </c>
      <c r="K35" s="19"/>
      <c r="L35" s="16"/>
      <c r="M35" s="50"/>
      <c r="N35" s="40">
        <f>IFERROR(I35+K35,"N/A")</f>
        <v>2</v>
      </c>
      <c r="O35" s="17">
        <f>IFERROR(J35+M35,"N/A")</f>
        <v>0</v>
      </c>
      <c r="P35" s="20">
        <f>IF(N35=0,0,(N35-O35)/N35)</f>
        <v>1</v>
      </c>
    </row>
    <row r="36" spans="1:25" ht="15.75" customHeight="1">
      <c r="A36" t="s">
        <v>92</v>
      </c>
      <c r="B36" s="68" t="s">
        <v>117</v>
      </c>
      <c r="C36" s="57" t="s">
        <v>118</v>
      </c>
      <c r="D36" s="69" t="str">
        <f>HYPERLINK("https://jira.constellation.soprasteria.com/browse/CARTEJEUNE_"&amp;B36,"Jira")</f>
        <v>Jira</v>
      </c>
      <c r="E36" s="57"/>
      <c r="F36" s="57"/>
      <c r="G36" s="58"/>
      <c r="H36" s="59"/>
      <c r="I36" s="60">
        <f>SUM(I37:I39)</f>
        <v>2</v>
      </c>
      <c r="J36" s="61">
        <f>SUM(J37:J39)</f>
        <v>0</v>
      </c>
      <c r="K36" s="62"/>
      <c r="L36" s="63"/>
      <c r="M36" s="64"/>
      <c r="N36" s="65">
        <f t="shared" si="7"/>
        <v>2</v>
      </c>
      <c r="O36" s="66">
        <f t="shared" si="8"/>
        <v>0</v>
      </c>
      <c r="P36" s="20">
        <f t="shared" si="9"/>
        <v>1</v>
      </c>
      <c r="R36" t="s">
        <v>37</v>
      </c>
    </row>
    <row r="37" spans="1:25" ht="15.75" customHeight="1">
      <c r="A37" t="s">
        <v>92</v>
      </c>
      <c r="B37" s="12"/>
      <c r="C37" s="13"/>
      <c r="D37" s="52"/>
      <c r="E37" s="13" t="s">
        <v>119</v>
      </c>
      <c r="F37" s="13" t="s">
        <v>120</v>
      </c>
      <c r="G37" s="51" t="str">
        <f t="shared" si="1"/>
        <v>Jira</v>
      </c>
      <c r="H37" s="24" t="s">
        <v>27</v>
      </c>
      <c r="I37" s="23">
        <v>1</v>
      </c>
      <c r="J37" s="48">
        <v>0</v>
      </c>
      <c r="K37" s="19"/>
      <c r="L37" s="16"/>
      <c r="M37" s="50"/>
      <c r="N37" s="40">
        <f t="shared" si="7"/>
        <v>1</v>
      </c>
      <c r="O37" s="17">
        <f t="shared" si="8"/>
        <v>0</v>
      </c>
      <c r="P37" s="20">
        <f t="shared" si="9"/>
        <v>1</v>
      </c>
    </row>
    <row r="38" spans="1:25" ht="15.75" customHeight="1">
      <c r="A38" t="s">
        <v>92</v>
      </c>
      <c r="B38" s="12"/>
      <c r="C38" s="13"/>
      <c r="D38" s="52"/>
      <c r="E38" s="13" t="s">
        <v>121</v>
      </c>
      <c r="F38" s="13" t="s">
        <v>122</v>
      </c>
      <c r="G38" s="51" t="str">
        <f t="shared" si="1"/>
        <v>Jira</v>
      </c>
      <c r="H38" s="24" t="s">
        <v>27</v>
      </c>
      <c r="I38" s="23">
        <v>0.5</v>
      </c>
      <c r="J38" s="48">
        <v>0</v>
      </c>
      <c r="K38" s="19"/>
      <c r="L38" s="16"/>
      <c r="M38" s="50"/>
      <c r="N38" s="40">
        <f>IFERROR(I38+K38,"N/A")</f>
        <v>0.5</v>
      </c>
      <c r="O38" s="17">
        <f>IFERROR(J38+M38,"N/A")</f>
        <v>0</v>
      </c>
      <c r="P38" s="20">
        <f>IF(N38=0,0,(N38-O38)/N38)</f>
        <v>1</v>
      </c>
    </row>
    <row r="39" spans="1:25" ht="15.75" customHeight="1">
      <c r="A39" t="s">
        <v>92</v>
      </c>
      <c r="B39" s="12"/>
      <c r="C39" s="13"/>
      <c r="D39" s="52"/>
      <c r="E39" s="13" t="s">
        <v>123</v>
      </c>
      <c r="F39" s="13" t="s">
        <v>124</v>
      </c>
      <c r="G39" s="51" t="str">
        <f t="shared" si="1"/>
        <v>Jira</v>
      </c>
      <c r="H39" s="24" t="s">
        <v>27</v>
      </c>
      <c r="I39" s="23">
        <v>0.5</v>
      </c>
      <c r="J39" s="48">
        <v>0</v>
      </c>
      <c r="K39" s="19"/>
      <c r="L39" s="16"/>
      <c r="M39" s="50"/>
      <c r="N39" s="40">
        <f>IFERROR(I39+K39,"N/A")</f>
        <v>0.5</v>
      </c>
      <c r="O39" s="17">
        <f>IFERROR(J39+M39,"N/A")</f>
        <v>0</v>
      </c>
      <c r="P39" s="20">
        <f>IF(N39=0,0,(N39-O39)/N39)</f>
        <v>1</v>
      </c>
    </row>
    <row r="40" spans="1:25" ht="15.75" customHeight="1">
      <c r="A40" t="s">
        <v>125</v>
      </c>
      <c r="B40" s="68" t="s">
        <v>126</v>
      </c>
      <c r="C40" s="57" t="s">
        <v>127</v>
      </c>
      <c r="D40" s="56" t="str">
        <f t="shared" si="0"/>
        <v>Jira</v>
      </c>
      <c r="E40" s="57"/>
      <c r="F40" s="57"/>
      <c r="G40" s="58"/>
      <c r="H40" s="59"/>
      <c r="I40" s="60">
        <f>SUM(I41:I43)</f>
        <v>6.5</v>
      </c>
      <c r="J40" s="61">
        <f>SUM(J41:J43)</f>
        <v>0.25</v>
      </c>
      <c r="K40" s="62"/>
      <c r="L40" s="63"/>
      <c r="M40" s="64"/>
      <c r="N40" s="65">
        <f t="shared" si="7"/>
        <v>6.5</v>
      </c>
      <c r="O40" s="66">
        <f t="shared" si="8"/>
        <v>0.25</v>
      </c>
      <c r="P40" s="20">
        <f t="shared" si="9"/>
        <v>0.96153846153846156</v>
      </c>
      <c r="Y40" t="s">
        <v>37</v>
      </c>
    </row>
    <row r="41" spans="1:25" ht="15.75" customHeight="1">
      <c r="A41" t="s">
        <v>125</v>
      </c>
      <c r="B41" s="12"/>
      <c r="C41" s="13"/>
      <c r="D41" s="52"/>
      <c r="E41" s="13" t="s">
        <v>128</v>
      </c>
      <c r="F41" s="13" t="s">
        <v>129</v>
      </c>
      <c r="G41" s="51" t="str">
        <f t="shared" si="1"/>
        <v>Jira</v>
      </c>
      <c r="H41" s="24" t="s">
        <v>25</v>
      </c>
      <c r="I41" s="23">
        <v>1</v>
      </c>
      <c r="J41" s="48">
        <v>0</v>
      </c>
      <c r="K41" s="19"/>
      <c r="L41" s="16"/>
      <c r="M41" s="50"/>
      <c r="N41" s="40">
        <f t="shared" si="7"/>
        <v>1</v>
      </c>
      <c r="O41" s="17">
        <f t="shared" ref="O41:O43" si="10">IFERROR(J41+M41,"N/A")</f>
        <v>0</v>
      </c>
      <c r="P41" s="20">
        <f t="shared" ref="P41:P43" si="11">IF(N41=0,0,(N41-O41)/N41)</f>
        <v>1</v>
      </c>
    </row>
    <row r="42" spans="1:25" ht="15.75" customHeight="1">
      <c r="A42" t="s">
        <v>125</v>
      </c>
      <c r="B42" s="12"/>
      <c r="C42" s="13"/>
      <c r="D42" s="52"/>
      <c r="E42" s="13" t="s">
        <v>130</v>
      </c>
      <c r="F42" s="13" t="s">
        <v>131</v>
      </c>
      <c r="G42" s="51" t="str">
        <f t="shared" si="1"/>
        <v>Jira</v>
      </c>
      <c r="H42" s="24" t="s">
        <v>25</v>
      </c>
      <c r="I42" s="23">
        <v>2</v>
      </c>
      <c r="J42" s="48">
        <v>0.25</v>
      </c>
      <c r="K42" s="19"/>
      <c r="L42" s="16"/>
      <c r="M42" s="50"/>
      <c r="N42" s="40">
        <f t="shared" si="7"/>
        <v>2</v>
      </c>
      <c r="O42" s="17">
        <f t="shared" si="10"/>
        <v>0.25</v>
      </c>
      <c r="P42" s="20">
        <f t="shared" si="11"/>
        <v>0.875</v>
      </c>
    </row>
    <row r="43" spans="1:25" ht="15.75" customHeight="1">
      <c r="A43" t="s">
        <v>125</v>
      </c>
      <c r="B43" s="12"/>
      <c r="C43" s="13"/>
      <c r="D43" s="52"/>
      <c r="E43" s="13" t="s">
        <v>132</v>
      </c>
      <c r="F43" s="13" t="s">
        <v>133</v>
      </c>
      <c r="G43" s="51" t="str">
        <f t="shared" si="1"/>
        <v>Jira</v>
      </c>
      <c r="H43" s="24" t="s">
        <v>27</v>
      </c>
      <c r="I43" s="23">
        <v>3.5</v>
      </c>
      <c r="J43" s="48">
        <v>0</v>
      </c>
      <c r="K43" s="19"/>
      <c r="L43" s="16"/>
      <c r="M43" s="50"/>
      <c r="N43" s="40">
        <f t="shared" si="7"/>
        <v>3.5</v>
      </c>
      <c r="O43" s="17">
        <f t="shared" si="10"/>
        <v>0</v>
      </c>
      <c r="P43" s="20">
        <f t="shared" si="11"/>
        <v>1</v>
      </c>
    </row>
    <row r="44" spans="1:25" ht="15.75" customHeight="1">
      <c r="A44" s="44" t="s">
        <v>134</v>
      </c>
      <c r="B44" s="68" t="s">
        <v>135</v>
      </c>
      <c r="C44" s="57" t="s">
        <v>136</v>
      </c>
      <c r="D44" s="56" t="str">
        <f>HYPERLINK("https://jira.constellation.soprasteria.com/browse/CARTEJEUNE_"&amp;B44,"Jira")</f>
        <v>Jira</v>
      </c>
      <c r="E44" s="57"/>
      <c r="F44" s="57"/>
      <c r="G44" s="58"/>
      <c r="H44" s="59" t="s">
        <v>15</v>
      </c>
      <c r="I44" s="60">
        <v>1</v>
      </c>
      <c r="J44" s="61">
        <v>0</v>
      </c>
      <c r="K44" s="62"/>
      <c r="L44" s="63"/>
      <c r="M44" s="64"/>
      <c r="N44" s="65">
        <f t="shared" ref="N44:N49" si="12">IFERROR(I44+K44,"N/A")</f>
        <v>1</v>
      </c>
      <c r="O44" s="66">
        <f t="shared" ref="O44:O49" si="13">IFERROR(J44+M44,"N/A")</f>
        <v>0</v>
      </c>
      <c r="P44" s="20">
        <f t="shared" ref="P44:P49" si="14">IF(N44=0,0,(N44-O44)/N44)</f>
        <v>1</v>
      </c>
    </row>
    <row r="45" spans="1:25" ht="15.75" customHeight="1">
      <c r="A45" t="s">
        <v>125</v>
      </c>
      <c r="B45" s="68" t="s">
        <v>137</v>
      </c>
      <c r="C45" s="57" t="s">
        <v>138</v>
      </c>
      <c r="D45" s="56" t="str">
        <f>HYPERLINK("https://jira.constellation.soprasteria.com/browse/CARTEJEUNE_"&amp;B45,"Jira")</f>
        <v>Jira</v>
      </c>
      <c r="E45" s="57"/>
      <c r="F45" s="57"/>
      <c r="G45" s="58"/>
      <c r="H45" s="59"/>
      <c r="I45" s="60">
        <v>1</v>
      </c>
      <c r="J45" s="61">
        <v>0</v>
      </c>
      <c r="K45" s="62"/>
      <c r="L45" s="63"/>
      <c r="M45" s="64"/>
      <c r="N45" s="65">
        <f t="shared" si="12"/>
        <v>1</v>
      </c>
      <c r="O45" s="66">
        <f t="shared" si="13"/>
        <v>0</v>
      </c>
      <c r="P45" s="20">
        <f t="shared" si="14"/>
        <v>1</v>
      </c>
    </row>
    <row r="46" spans="1:25" ht="15.75" customHeight="1">
      <c r="A46" t="s">
        <v>95</v>
      </c>
      <c r="B46" s="68" t="s">
        <v>139</v>
      </c>
      <c r="C46" s="57" t="s">
        <v>140</v>
      </c>
      <c r="D46" s="56" t="str">
        <f>HYPERLINK("https://jira.constellation.soprasteria.com/browse/CARTEJEUNE_"&amp;B46,"Jira")</f>
        <v>Jira</v>
      </c>
      <c r="E46" s="57"/>
      <c r="F46" s="57"/>
      <c r="G46" s="58"/>
      <c r="H46" s="59"/>
      <c r="I46" s="60">
        <v>0</v>
      </c>
      <c r="J46" s="61">
        <v>0</v>
      </c>
      <c r="K46" s="62"/>
      <c r="L46" s="63"/>
      <c r="M46" s="64"/>
      <c r="N46" s="65">
        <f t="shared" si="12"/>
        <v>0</v>
      </c>
      <c r="O46" s="66">
        <f t="shared" si="13"/>
        <v>0</v>
      </c>
      <c r="P46" s="20">
        <f t="shared" si="14"/>
        <v>0</v>
      </c>
    </row>
    <row r="47" spans="1:25" ht="15.75" customHeight="1">
      <c r="A47" t="s">
        <v>95</v>
      </c>
      <c r="B47" s="68" t="s">
        <v>141</v>
      </c>
      <c r="C47" s="57" t="s">
        <v>142</v>
      </c>
      <c r="D47" s="56" t="str">
        <f>HYPERLINK("https://jira.constellation.soprasteria.com/browse/CARTEJEUNE_"&amp;B47,"Jira")</f>
        <v>Jira</v>
      </c>
      <c r="E47" s="57"/>
      <c r="F47" s="57"/>
      <c r="G47" s="58"/>
      <c r="H47" s="59"/>
      <c r="I47" s="60">
        <v>0</v>
      </c>
      <c r="J47" s="61">
        <v>0</v>
      </c>
      <c r="K47" s="62"/>
      <c r="L47" s="63"/>
      <c r="M47" s="64"/>
      <c r="N47" s="65">
        <f t="shared" si="12"/>
        <v>0</v>
      </c>
      <c r="O47" s="66">
        <f t="shared" si="13"/>
        <v>0</v>
      </c>
      <c r="P47" s="20">
        <f t="shared" si="14"/>
        <v>0</v>
      </c>
    </row>
    <row r="48" spans="1:25" ht="15.75" customHeight="1">
      <c r="A48" s="44" t="s">
        <v>125</v>
      </c>
      <c r="B48" s="68" t="s">
        <v>143</v>
      </c>
      <c r="C48" s="57" t="s">
        <v>144</v>
      </c>
      <c r="D48" s="56" t="str">
        <f>HYPERLINK("https://jira.constellation.soprasteria.com/browse/CARTEJEUNE_"&amp;B48,"Jira")</f>
        <v>Jira</v>
      </c>
      <c r="E48" s="57"/>
      <c r="F48" s="57"/>
      <c r="G48" s="58"/>
      <c r="H48" s="59"/>
      <c r="I48" s="60">
        <f>SUM(I49)</f>
        <v>3.5</v>
      </c>
      <c r="J48" s="61">
        <f>SUM(J49)</f>
        <v>0</v>
      </c>
      <c r="K48" s="62"/>
      <c r="L48" s="63"/>
      <c r="M48" s="64"/>
      <c r="N48" s="65">
        <f t="shared" si="12"/>
        <v>3.5</v>
      </c>
      <c r="O48" s="66">
        <f t="shared" si="13"/>
        <v>0</v>
      </c>
      <c r="P48" s="20">
        <f t="shared" si="14"/>
        <v>1</v>
      </c>
    </row>
    <row r="49" spans="1:16" ht="15.75" customHeight="1">
      <c r="A49"/>
      <c r="B49" s="12"/>
      <c r="C49" s="13"/>
      <c r="D49" s="52"/>
      <c r="E49" s="13" t="s">
        <v>145</v>
      </c>
      <c r="F49" s="13" t="s">
        <v>146</v>
      </c>
      <c r="G49" s="51"/>
      <c r="H49" s="24" t="s">
        <v>23</v>
      </c>
      <c r="I49" s="23">
        <v>3.5</v>
      </c>
      <c r="J49" s="48">
        <v>0</v>
      </c>
      <c r="K49" s="19"/>
      <c r="L49" s="16"/>
      <c r="M49" s="50"/>
      <c r="N49" s="40">
        <f t="shared" si="12"/>
        <v>3.5</v>
      </c>
      <c r="O49" s="17">
        <f t="shared" si="13"/>
        <v>0</v>
      </c>
      <c r="P49" s="20">
        <f t="shared" si="14"/>
        <v>1</v>
      </c>
    </row>
    <row r="50" spans="1:16" ht="15.75" customHeight="1">
      <c r="A50" s="44" t="s">
        <v>89</v>
      </c>
      <c r="B50" s="68" t="s">
        <v>147</v>
      </c>
      <c r="C50" s="57" t="s">
        <v>148</v>
      </c>
      <c r="D50" s="56" t="str">
        <f t="shared" si="0"/>
        <v>Jira</v>
      </c>
      <c r="E50" s="57"/>
      <c r="F50" s="57"/>
      <c r="G50" s="58"/>
      <c r="H50" s="59"/>
      <c r="I50" s="60">
        <f>I51</f>
        <v>0.75</v>
      </c>
      <c r="J50" s="61">
        <f>J51</f>
        <v>0</v>
      </c>
      <c r="K50" s="62"/>
      <c r="L50" s="63"/>
      <c r="M50" s="64"/>
      <c r="N50" s="65">
        <f t="shared" si="7"/>
        <v>0.75</v>
      </c>
      <c r="O50" s="66">
        <f t="shared" ref="O50:O93" si="15">IFERROR(J50+M50,"N/A")</f>
        <v>0</v>
      </c>
      <c r="P50" s="20">
        <f t="shared" ref="P50:P98" si="16">IF(N50=0,0,(N50-O50)/N50)</f>
        <v>1</v>
      </c>
    </row>
    <row r="51" spans="1:16" ht="15.75" customHeight="1">
      <c r="A51" t="s">
        <v>92</v>
      </c>
      <c r="B51" s="12"/>
      <c r="C51" s="13"/>
      <c r="D51" s="52"/>
      <c r="E51" s="13" t="s">
        <v>149</v>
      </c>
      <c r="F51" s="13" t="s">
        <v>150</v>
      </c>
      <c r="G51" s="51" t="str">
        <f t="shared" si="1"/>
        <v>Jira</v>
      </c>
      <c r="H51" s="24" t="s">
        <v>23</v>
      </c>
      <c r="I51" s="23">
        <v>0.75</v>
      </c>
      <c r="J51" s="48">
        <v>0</v>
      </c>
      <c r="K51" s="19"/>
      <c r="L51" s="16"/>
      <c r="M51" s="50"/>
      <c r="N51" s="40">
        <f>IFERROR(I51+K51,"N/A")</f>
        <v>0.75</v>
      </c>
      <c r="O51" s="17">
        <f>IFERROR(J51+M51,"N/A")</f>
        <v>0</v>
      </c>
      <c r="P51" s="20">
        <f>IF(N51=0,0,(N51-O51)/N51)</f>
        <v>1</v>
      </c>
    </row>
    <row r="52" spans="1:16" ht="15.75" customHeight="1">
      <c r="A52" t="s">
        <v>92</v>
      </c>
      <c r="B52" s="12"/>
      <c r="C52" s="13"/>
      <c r="D52" s="52"/>
      <c r="E52" s="13" t="s">
        <v>151</v>
      </c>
      <c r="F52" s="13" t="s">
        <v>152</v>
      </c>
      <c r="G52" s="51" t="str">
        <f t="shared" si="1"/>
        <v>Jira</v>
      </c>
      <c r="H52" s="24" t="s">
        <v>23</v>
      </c>
      <c r="I52" s="23">
        <v>0.5</v>
      </c>
      <c r="J52" s="48">
        <v>0</v>
      </c>
      <c r="K52" s="19"/>
      <c r="L52" s="16"/>
      <c r="M52" s="50"/>
      <c r="N52" s="40">
        <f>IFERROR(I52+K52,"N/A")</f>
        <v>0.5</v>
      </c>
      <c r="O52" s="17">
        <f>IFERROR(J52+M52,"N/A")</f>
        <v>0</v>
      </c>
      <c r="P52" s="20">
        <f>IF(N52=0,0,(N52-O52)/N52)</f>
        <v>1</v>
      </c>
    </row>
    <row r="53" spans="1:16" ht="15.75" customHeight="1">
      <c r="A53" t="s">
        <v>125</v>
      </c>
      <c r="B53" s="12"/>
      <c r="C53" s="13"/>
      <c r="D53" s="52"/>
      <c r="E53" s="13" t="s">
        <v>153</v>
      </c>
      <c r="F53" s="13" t="s">
        <v>154</v>
      </c>
      <c r="G53" s="51" t="str">
        <f t="shared" si="1"/>
        <v>Jira</v>
      </c>
      <c r="H53" s="24" t="s">
        <v>23</v>
      </c>
      <c r="I53" s="23">
        <v>2</v>
      </c>
      <c r="J53" s="48">
        <v>0</v>
      </c>
      <c r="K53" s="19"/>
      <c r="L53" s="16"/>
      <c r="M53" s="50"/>
      <c r="N53" s="40">
        <f>IFERROR(I53+K53,"N/A")</f>
        <v>2</v>
      </c>
      <c r="O53" s="17">
        <f>IFERROR(J53+M53,"N/A")</f>
        <v>0</v>
      </c>
      <c r="P53" s="20">
        <f>IF(N53=0,0,(N53-O53)/N53)</f>
        <v>1</v>
      </c>
    </row>
    <row r="54" spans="1:16" ht="15.75" customHeight="1">
      <c r="A54" t="s">
        <v>155</v>
      </c>
      <c r="B54" s="12"/>
      <c r="C54" s="13"/>
      <c r="D54" s="52"/>
      <c r="E54" s="13" t="s">
        <v>156</v>
      </c>
      <c r="F54" s="13" t="s">
        <v>157</v>
      </c>
      <c r="G54" s="51" t="str">
        <f t="shared" si="1"/>
        <v>Jira</v>
      </c>
      <c r="H54" s="24" t="s">
        <v>23</v>
      </c>
      <c r="I54" s="23">
        <v>3</v>
      </c>
      <c r="J54" s="48">
        <v>0</v>
      </c>
      <c r="K54" s="19"/>
      <c r="L54" s="16"/>
      <c r="M54" s="50"/>
      <c r="N54" s="40">
        <f>IFERROR(I54+K54,"N/A")</f>
        <v>3</v>
      </c>
      <c r="O54" s="17">
        <f>IFERROR(J54+M54,"N/A")</f>
        <v>0</v>
      </c>
      <c r="P54" s="20">
        <f>IF(N54=0,0,(N54-O54)/N54)</f>
        <v>1</v>
      </c>
    </row>
    <row r="55" spans="1:16" ht="15.75" customHeight="1">
      <c r="A55" s="44" t="s">
        <v>125</v>
      </c>
      <c r="B55" s="68" t="s">
        <v>158</v>
      </c>
      <c r="C55" s="57" t="s">
        <v>159</v>
      </c>
      <c r="D55" s="56" t="str">
        <f t="shared" si="0"/>
        <v>Jira</v>
      </c>
      <c r="E55" s="57"/>
      <c r="F55" s="57"/>
      <c r="G55" s="58"/>
      <c r="H55" s="59"/>
      <c r="I55" s="60">
        <f>SUM(I56:I57)</f>
        <v>6.5</v>
      </c>
      <c r="J55" s="61">
        <f>SUM(J56:J57)</f>
        <v>0</v>
      </c>
      <c r="K55" s="62"/>
      <c r="L55" s="63"/>
      <c r="M55" s="64"/>
      <c r="N55" s="65">
        <f t="shared" ref="N55" si="17">IFERROR(I55+K55,"N/A")</f>
        <v>6.5</v>
      </c>
      <c r="O55" s="66">
        <f t="shared" ref="O55" si="18">IFERROR(J55+M55,"N/A")</f>
        <v>0</v>
      </c>
      <c r="P55" s="20">
        <f t="shared" ref="P55" si="19">IF(N55=0,0,(N55-O55)/N55)</f>
        <v>1</v>
      </c>
    </row>
    <row r="56" spans="1:16" ht="15.75" customHeight="1">
      <c r="A56" s="44" t="s">
        <v>125</v>
      </c>
      <c r="B56" s="12"/>
      <c r="C56" s="13"/>
      <c r="D56" s="52"/>
      <c r="E56" s="13" t="s">
        <v>160</v>
      </c>
      <c r="F56" s="13" t="s">
        <v>161</v>
      </c>
      <c r="G56" s="51" t="str">
        <f t="shared" si="1"/>
        <v>Jira</v>
      </c>
      <c r="H56" s="24" t="s">
        <v>23</v>
      </c>
      <c r="I56" s="23">
        <v>3.5</v>
      </c>
      <c r="J56" s="48">
        <v>0</v>
      </c>
      <c r="K56" s="19"/>
      <c r="L56" s="16"/>
      <c r="M56" s="50"/>
      <c r="N56" s="40">
        <f t="shared" ref="N56" si="20">IFERROR(I56+K56,"N/A")</f>
        <v>3.5</v>
      </c>
      <c r="O56" s="40">
        <f>IFERROR(J56+L56,"N/A")</f>
        <v>0</v>
      </c>
      <c r="P56" s="20">
        <f>IF(N56=0,0,(N56-O56)/N56)</f>
        <v>1</v>
      </c>
    </row>
    <row r="57" spans="1:16" ht="15.75" customHeight="1">
      <c r="A57" s="44" t="s">
        <v>125</v>
      </c>
      <c r="B57" s="12"/>
      <c r="C57" s="13"/>
      <c r="D57" s="52"/>
      <c r="E57" s="13" t="s">
        <v>162</v>
      </c>
      <c r="F57" s="13" t="s">
        <v>163</v>
      </c>
      <c r="G57" s="51" t="str">
        <f t="shared" si="1"/>
        <v>Jira</v>
      </c>
      <c r="H57" s="24" t="s">
        <v>23</v>
      </c>
      <c r="I57" s="23">
        <v>3</v>
      </c>
      <c r="J57" s="48">
        <v>0</v>
      </c>
      <c r="K57" s="19"/>
      <c r="L57" s="16"/>
      <c r="M57" s="50"/>
      <c r="N57" s="40">
        <f>IFERROR(I57+K57,"N/A")</f>
        <v>3</v>
      </c>
      <c r="O57" s="40">
        <f>IFERROR(J57+L57,"N/A")</f>
        <v>0</v>
      </c>
      <c r="P57" s="20">
        <f>IF(N57=0,0,(N57-O57)/N57)</f>
        <v>1</v>
      </c>
    </row>
    <row r="58" spans="1:16" ht="15.75" customHeight="1">
      <c r="A58" s="44" t="s">
        <v>125</v>
      </c>
      <c r="B58" s="68" t="s">
        <v>164</v>
      </c>
      <c r="C58" s="57" t="s">
        <v>165</v>
      </c>
      <c r="D58" s="56" t="str">
        <f t="shared" si="0"/>
        <v>Jira</v>
      </c>
      <c r="E58" s="57"/>
      <c r="F58" s="57"/>
      <c r="G58" s="58"/>
      <c r="H58" s="59"/>
      <c r="I58" s="60">
        <v>11</v>
      </c>
      <c r="J58" s="61">
        <v>0</v>
      </c>
      <c r="K58" s="62"/>
      <c r="L58" s="63"/>
      <c r="M58" s="64"/>
      <c r="N58" s="65">
        <f t="shared" si="7"/>
        <v>11</v>
      </c>
      <c r="O58" s="66">
        <f t="shared" si="15"/>
        <v>0</v>
      </c>
      <c r="P58" s="20">
        <f t="shared" si="16"/>
        <v>1</v>
      </c>
    </row>
    <row r="59" spans="1:16" ht="15.75" customHeight="1">
      <c r="A59" s="44" t="s">
        <v>125</v>
      </c>
      <c r="B59" s="12"/>
      <c r="C59" s="13"/>
      <c r="D59" s="52"/>
      <c r="E59" s="13" t="s">
        <v>166</v>
      </c>
      <c r="F59" s="13" t="s">
        <v>167</v>
      </c>
      <c r="G59" s="51" t="str">
        <f t="shared" si="1"/>
        <v>Jira</v>
      </c>
      <c r="H59" s="24" t="s">
        <v>23</v>
      </c>
      <c r="I59" s="23">
        <v>3</v>
      </c>
      <c r="J59" s="48">
        <v>0</v>
      </c>
      <c r="K59" s="19"/>
      <c r="L59" s="16"/>
      <c r="M59" s="50"/>
      <c r="N59" s="40">
        <f>IFERROR(I59+K59,"N/A")</f>
        <v>3</v>
      </c>
      <c r="O59" s="17">
        <f>IFERROR(J59+M59,"N/A")</f>
        <v>0</v>
      </c>
      <c r="P59" s="20">
        <f>IF(N59=0,0,(N59-O59)/N59)</f>
        <v>1</v>
      </c>
    </row>
    <row r="60" spans="1:16" ht="15.75" customHeight="1">
      <c r="A60" s="44" t="s">
        <v>125</v>
      </c>
      <c r="B60" s="12"/>
      <c r="C60" s="13"/>
      <c r="D60" s="52"/>
      <c r="E60" s="13" t="s">
        <v>168</v>
      </c>
      <c r="F60" s="13" t="s">
        <v>169</v>
      </c>
      <c r="G60" s="51" t="str">
        <f t="shared" si="1"/>
        <v>Jira</v>
      </c>
      <c r="H60" s="24" t="s">
        <v>23</v>
      </c>
      <c r="I60" s="23">
        <v>2</v>
      </c>
      <c r="J60" s="48">
        <v>0</v>
      </c>
      <c r="K60" s="19"/>
      <c r="L60" s="16"/>
      <c r="M60" s="50"/>
      <c r="N60" s="40">
        <f>IFERROR(I60+K60,"N/A")</f>
        <v>2</v>
      </c>
      <c r="O60" s="17">
        <f>IFERROR(J60+M60,"N/A")</f>
        <v>0</v>
      </c>
      <c r="P60" s="20">
        <f>IF(N60=0,0,(N60-O60)/N60)</f>
        <v>1</v>
      </c>
    </row>
    <row r="61" spans="1:16" ht="15.75" customHeight="1">
      <c r="A61" t="s">
        <v>95</v>
      </c>
      <c r="B61" s="68" t="s">
        <v>170</v>
      </c>
      <c r="C61" s="57" t="s">
        <v>171</v>
      </c>
      <c r="D61" s="56" t="str">
        <f t="shared" si="0"/>
        <v>Jira</v>
      </c>
      <c r="E61" s="57"/>
      <c r="F61" s="57"/>
      <c r="G61" s="58"/>
      <c r="H61" s="59"/>
      <c r="I61" s="60">
        <v>0</v>
      </c>
      <c r="J61" s="61">
        <v>0</v>
      </c>
      <c r="K61" s="62"/>
      <c r="L61" s="63"/>
      <c r="M61" s="64"/>
      <c r="N61" s="65">
        <f>IFERROR(I61+K61,"N/A")</f>
        <v>0</v>
      </c>
      <c r="O61" s="66">
        <f>IFERROR(J61+M61,"N/A")</f>
        <v>0</v>
      </c>
      <c r="P61" s="20">
        <f>IF(N61=0,0,(N61-O61)/N61)</f>
        <v>0</v>
      </c>
    </row>
    <row r="62" spans="1:16" ht="15.75" customHeight="1">
      <c r="A62" s="44" t="s">
        <v>125</v>
      </c>
      <c r="B62" s="68" t="s">
        <v>172</v>
      </c>
      <c r="C62" s="57" t="s">
        <v>173</v>
      </c>
      <c r="D62" s="56" t="str">
        <f t="shared" si="0"/>
        <v>Jira</v>
      </c>
      <c r="E62" s="57"/>
      <c r="F62" s="57"/>
      <c r="G62" s="58"/>
      <c r="H62" s="59"/>
      <c r="I62" s="60">
        <f>SUM(I63:I64)</f>
        <v>7</v>
      </c>
      <c r="J62" s="60">
        <f>SUM(J63:J64)</f>
        <v>0</v>
      </c>
      <c r="K62" s="62"/>
      <c r="L62" s="63"/>
      <c r="M62" s="64"/>
      <c r="N62" s="65">
        <f t="shared" si="7"/>
        <v>7</v>
      </c>
      <c r="O62" s="66">
        <f t="shared" si="15"/>
        <v>0</v>
      </c>
      <c r="P62" s="20">
        <f t="shared" si="16"/>
        <v>1</v>
      </c>
    </row>
    <row r="63" spans="1:16" ht="15.75" customHeight="1">
      <c r="A63" s="44" t="s">
        <v>125</v>
      </c>
      <c r="B63" s="12"/>
      <c r="C63" s="13"/>
      <c r="D63" s="52"/>
      <c r="E63" s="13" t="s">
        <v>174</v>
      </c>
      <c r="F63" s="13" t="s">
        <v>175</v>
      </c>
      <c r="G63" s="51" t="str">
        <f t="shared" si="1"/>
        <v>Jira</v>
      </c>
      <c r="H63" s="24" t="s">
        <v>23</v>
      </c>
      <c r="I63" s="23">
        <v>4</v>
      </c>
      <c r="J63" s="48">
        <v>0</v>
      </c>
      <c r="K63" s="19"/>
      <c r="L63" s="16"/>
      <c r="M63" s="50"/>
      <c r="N63" s="40">
        <f>IFERROR(I63+K63,"N/A")</f>
        <v>4</v>
      </c>
      <c r="O63" s="17">
        <f>IFERROR(J63+M63,"N/A")</f>
        <v>0</v>
      </c>
      <c r="P63" s="20">
        <f>IF(N63=0,0,(N63-O63)/N63)</f>
        <v>1</v>
      </c>
    </row>
    <row r="64" spans="1:16" ht="15.75" customHeight="1">
      <c r="A64" s="44" t="s">
        <v>125</v>
      </c>
      <c r="B64" s="12"/>
      <c r="C64" s="13"/>
      <c r="D64" s="52"/>
      <c r="E64" s="13" t="s">
        <v>176</v>
      </c>
      <c r="F64" s="13" t="s">
        <v>177</v>
      </c>
      <c r="G64" s="51" t="str">
        <f t="shared" si="1"/>
        <v>Jira</v>
      </c>
      <c r="H64" s="24" t="s">
        <v>23</v>
      </c>
      <c r="I64" s="23">
        <v>3</v>
      </c>
      <c r="J64" s="48">
        <v>0</v>
      </c>
      <c r="K64" s="19"/>
      <c r="L64" s="16"/>
      <c r="M64" s="50"/>
      <c r="N64" s="40">
        <f>IFERROR(I64+K64,"N/A")</f>
        <v>3</v>
      </c>
      <c r="O64" s="17">
        <f>IFERROR(J64+M64,"N/A")</f>
        <v>0</v>
      </c>
      <c r="P64" s="20">
        <f>IF(N64=0,0,(N64-O64)/N64)</f>
        <v>1</v>
      </c>
    </row>
    <row r="65" spans="1:16" ht="15.75" customHeight="1">
      <c r="A65" s="44" t="s">
        <v>155</v>
      </c>
      <c r="B65" s="68" t="s">
        <v>178</v>
      </c>
      <c r="C65" s="57" t="s">
        <v>179</v>
      </c>
      <c r="D65" s="56" t="str">
        <f t="shared" si="0"/>
        <v>Jira</v>
      </c>
      <c r="E65" s="57"/>
      <c r="F65" s="57"/>
      <c r="G65" s="58"/>
      <c r="H65" s="59"/>
      <c r="I65" s="60">
        <v>10</v>
      </c>
      <c r="J65" s="61">
        <v>10</v>
      </c>
      <c r="K65" s="62"/>
      <c r="L65" s="63"/>
      <c r="M65" s="64"/>
      <c r="N65" s="65">
        <f t="shared" si="7"/>
        <v>10</v>
      </c>
      <c r="O65" s="66">
        <f t="shared" si="15"/>
        <v>10</v>
      </c>
      <c r="P65" s="20">
        <f t="shared" si="16"/>
        <v>0</v>
      </c>
    </row>
    <row r="66" spans="1:16" ht="15.75" customHeight="1">
      <c r="A66" s="44" t="s">
        <v>92</v>
      </c>
      <c r="B66" s="68" t="s">
        <v>180</v>
      </c>
      <c r="C66" s="57" t="s">
        <v>181</v>
      </c>
      <c r="D66" s="56" t="str">
        <f t="shared" si="0"/>
        <v>Jira</v>
      </c>
      <c r="E66" s="57"/>
      <c r="F66" s="57"/>
      <c r="G66" s="58"/>
      <c r="H66" s="59"/>
      <c r="I66" s="60">
        <f>SUM(I67:I68)</f>
        <v>10</v>
      </c>
      <c r="J66" s="60">
        <f>SUM(J67:J68)</f>
        <v>0</v>
      </c>
      <c r="K66" s="62"/>
      <c r="L66" s="63"/>
      <c r="M66" s="64"/>
      <c r="N66" s="65">
        <f t="shared" si="7"/>
        <v>10</v>
      </c>
      <c r="O66" s="66">
        <f>IFERROR(J66+M66,"N/A")</f>
        <v>0</v>
      </c>
      <c r="P66" s="20">
        <f t="shared" si="16"/>
        <v>1</v>
      </c>
    </row>
    <row r="67" spans="1:16" ht="15.75" customHeight="1">
      <c r="A67" s="44" t="s">
        <v>92</v>
      </c>
      <c r="B67" s="12"/>
      <c r="C67" s="13"/>
      <c r="D67" s="52"/>
      <c r="E67" s="13" t="s">
        <v>182</v>
      </c>
      <c r="F67" s="13" t="s">
        <v>183</v>
      </c>
      <c r="G67" s="51" t="str">
        <f t="shared" si="1"/>
        <v>Jira</v>
      </c>
      <c r="H67" s="24" t="s">
        <v>23</v>
      </c>
      <c r="I67" s="23">
        <v>7</v>
      </c>
      <c r="J67" s="48">
        <v>0</v>
      </c>
      <c r="K67" s="19"/>
      <c r="L67" s="16"/>
      <c r="M67" s="50"/>
      <c r="N67" s="40">
        <f>IFERROR(I67+K67,"N/A")</f>
        <v>7</v>
      </c>
      <c r="O67" s="17">
        <f>IFERROR(J67+M67,"N/A")</f>
        <v>0</v>
      </c>
      <c r="P67" s="20">
        <f>IF(N67=0,0,(N67-O67)/N67)</f>
        <v>1</v>
      </c>
    </row>
    <row r="68" spans="1:16" ht="15.75" customHeight="1">
      <c r="A68" s="44" t="s">
        <v>92</v>
      </c>
      <c r="B68" s="12"/>
      <c r="C68" s="13"/>
      <c r="D68" s="52"/>
      <c r="E68" s="13" t="s">
        <v>184</v>
      </c>
      <c r="F68" s="13" t="s">
        <v>185</v>
      </c>
      <c r="G68" s="51" t="str">
        <f t="shared" si="1"/>
        <v>Jira</v>
      </c>
      <c r="H68" s="24" t="s">
        <v>23</v>
      </c>
      <c r="I68" s="23">
        <v>3</v>
      </c>
      <c r="J68" s="48">
        <v>0</v>
      </c>
      <c r="K68" s="19"/>
      <c r="L68" s="16"/>
      <c r="M68" s="50"/>
      <c r="N68" s="40">
        <f>IFERROR(I68+K68,"N/A")</f>
        <v>3</v>
      </c>
      <c r="O68" s="17">
        <f>IFERROR(J68+M68,"N/A")</f>
        <v>0</v>
      </c>
      <c r="P68" s="20">
        <f>IF(N68=0,0,(N68-O68)/N68)</f>
        <v>1</v>
      </c>
    </row>
    <row r="69" spans="1:16" ht="15.75" customHeight="1">
      <c r="A69" s="44" t="s">
        <v>92</v>
      </c>
      <c r="B69" s="12"/>
      <c r="C69" s="13"/>
      <c r="D69" s="52"/>
      <c r="E69" s="13" t="s">
        <v>186</v>
      </c>
      <c r="F69" s="13" t="s">
        <v>187</v>
      </c>
      <c r="G69" s="51" t="str">
        <f t="shared" si="1"/>
        <v>Jira</v>
      </c>
      <c r="H69" s="24" t="s">
        <v>23</v>
      </c>
      <c r="I69" s="23">
        <v>1</v>
      </c>
      <c r="J69" s="48">
        <v>0</v>
      </c>
      <c r="K69" s="19"/>
      <c r="L69" s="16"/>
      <c r="M69" s="50"/>
      <c r="N69" s="40">
        <f>IFERROR(I69+K69,"N/A")</f>
        <v>1</v>
      </c>
      <c r="O69" s="17">
        <f>IFERROR(J69+M69,"N/A")</f>
        <v>0</v>
      </c>
      <c r="P69" s="20">
        <f>IF(N69=0,0,(N69-O69)/N69)</f>
        <v>1</v>
      </c>
    </row>
    <row r="70" spans="1:16" ht="15.75" customHeight="1">
      <c r="A70" s="44" t="s">
        <v>92</v>
      </c>
      <c r="B70" s="12"/>
      <c r="C70" s="13"/>
      <c r="D70" s="52"/>
      <c r="E70" s="13" t="s">
        <v>188</v>
      </c>
      <c r="F70" s="13" t="s">
        <v>189</v>
      </c>
      <c r="G70" s="51" t="str">
        <f t="shared" si="1"/>
        <v>Jira</v>
      </c>
      <c r="H70" s="24" t="s">
        <v>23</v>
      </c>
      <c r="I70" s="23">
        <v>0.5</v>
      </c>
      <c r="J70" s="48">
        <v>0</v>
      </c>
      <c r="K70" s="19"/>
      <c r="L70" s="16"/>
      <c r="M70" s="50"/>
      <c r="N70" s="40">
        <f>IFERROR(I70+K70,"N/A")</f>
        <v>0.5</v>
      </c>
      <c r="O70" s="17">
        <f>IFERROR(J70+M70,"N/A")</f>
        <v>0</v>
      </c>
      <c r="P70" s="20">
        <f>IF(N70=0,0,(N70-O70)/N70)</f>
        <v>1</v>
      </c>
    </row>
    <row r="71" spans="1:16" ht="15.75" customHeight="1" collapsed="1">
      <c r="A71" s="44" t="s">
        <v>92</v>
      </c>
      <c r="B71" s="68" t="s">
        <v>190</v>
      </c>
      <c r="C71" s="57" t="s">
        <v>191</v>
      </c>
      <c r="D71" s="56" t="str">
        <f t="shared" si="0"/>
        <v>Jira</v>
      </c>
      <c r="E71" s="57"/>
      <c r="F71" s="57"/>
      <c r="G71" s="58"/>
      <c r="H71" s="59"/>
      <c r="I71" s="60">
        <f>SUM(I72:I73)</f>
        <v>1</v>
      </c>
      <c r="J71" s="61">
        <f>SUM(J72:J73)</f>
        <v>0</v>
      </c>
      <c r="K71" s="62"/>
      <c r="L71" s="63"/>
      <c r="M71" s="64"/>
      <c r="N71" s="65">
        <f t="shared" si="7"/>
        <v>1</v>
      </c>
      <c r="O71" s="66">
        <f t="shared" si="15"/>
        <v>0</v>
      </c>
      <c r="P71" s="20">
        <f t="shared" si="16"/>
        <v>1</v>
      </c>
    </row>
    <row r="72" spans="1:16" ht="15.75" customHeight="1">
      <c r="A72" s="44" t="s">
        <v>92</v>
      </c>
      <c r="B72" s="12"/>
      <c r="C72" s="13"/>
      <c r="D72" s="52"/>
      <c r="E72" s="13" t="s">
        <v>192</v>
      </c>
      <c r="F72" s="13" t="s">
        <v>193</v>
      </c>
      <c r="G72" s="51" t="str">
        <f t="shared" si="1"/>
        <v>Jira</v>
      </c>
      <c r="H72" s="24" t="s">
        <v>23</v>
      </c>
      <c r="I72" s="23">
        <v>0.5</v>
      </c>
      <c r="J72" s="48">
        <v>0</v>
      </c>
      <c r="K72" s="19"/>
      <c r="L72" s="16"/>
      <c r="M72" s="50"/>
      <c r="N72" s="40">
        <f>IFERROR(I72+K72,"N/A")</f>
        <v>0.5</v>
      </c>
      <c r="O72" s="17">
        <f>IFERROR(J72+M72,"N/A")</f>
        <v>0</v>
      </c>
      <c r="P72" s="20">
        <f>IF(N72=0,0,(N72-O72)/N72)</f>
        <v>1</v>
      </c>
    </row>
    <row r="73" spans="1:16" ht="15.75" customHeight="1">
      <c r="A73" s="44" t="s">
        <v>92</v>
      </c>
      <c r="B73" s="12"/>
      <c r="C73" s="13"/>
      <c r="D73" s="52"/>
      <c r="E73" s="13" t="s">
        <v>194</v>
      </c>
      <c r="F73" s="13" t="s">
        <v>195</v>
      </c>
      <c r="G73" s="51" t="str">
        <f t="shared" si="1"/>
        <v>Jira</v>
      </c>
      <c r="H73" s="24" t="s">
        <v>23</v>
      </c>
      <c r="I73" s="23">
        <v>0.5</v>
      </c>
      <c r="J73" s="48">
        <v>0</v>
      </c>
      <c r="K73" s="19"/>
      <c r="L73" s="16"/>
      <c r="M73" s="50"/>
      <c r="N73" s="40">
        <f>IFERROR(I73+K73,"N/A")</f>
        <v>0.5</v>
      </c>
      <c r="O73" s="17">
        <f>IFERROR(J73+M73,"N/A")</f>
        <v>0</v>
      </c>
      <c r="P73" s="20">
        <f>IF(N73=0,0,(N73-O73)/N73)</f>
        <v>1</v>
      </c>
    </row>
    <row r="74" spans="1:16" ht="15.75" customHeight="1">
      <c r="A74" s="44" t="s">
        <v>196</v>
      </c>
      <c r="B74" s="12"/>
      <c r="C74" s="13"/>
      <c r="D74" s="52"/>
      <c r="E74" s="13" t="s">
        <v>197</v>
      </c>
      <c r="F74" s="13" t="s">
        <v>198</v>
      </c>
      <c r="G74" s="51" t="str">
        <f t="shared" si="1"/>
        <v>Jira</v>
      </c>
      <c r="H74" s="24"/>
      <c r="I74" s="23"/>
      <c r="J74" s="48"/>
      <c r="K74" s="19"/>
      <c r="L74" s="16"/>
      <c r="M74" s="50"/>
      <c r="N74" s="40"/>
      <c r="O74" s="17"/>
      <c r="P74" s="20"/>
    </row>
    <row r="75" spans="1:16" ht="15.75" customHeight="1">
      <c r="A75" s="44" t="s">
        <v>95</v>
      </c>
      <c r="B75" s="12"/>
      <c r="C75" s="13"/>
      <c r="D75" s="52"/>
      <c r="E75" s="13" t="s">
        <v>199</v>
      </c>
      <c r="F75" s="13" t="s">
        <v>200</v>
      </c>
      <c r="G75" s="51" t="str">
        <f t="shared" si="1"/>
        <v>Jira</v>
      </c>
      <c r="H75" s="24"/>
      <c r="I75" s="23"/>
      <c r="J75" s="48"/>
      <c r="K75" s="19"/>
      <c r="L75" s="16"/>
      <c r="M75" s="50"/>
      <c r="N75" s="40"/>
      <c r="O75" s="17"/>
      <c r="P75" s="20"/>
    </row>
    <row r="76" spans="1:16" ht="15.75" customHeight="1">
      <c r="A76" s="44" t="s">
        <v>125</v>
      </c>
      <c r="B76" s="68" t="s">
        <v>201</v>
      </c>
      <c r="C76" s="57" t="s">
        <v>202</v>
      </c>
      <c r="D76" s="56" t="str">
        <f t="shared" si="0"/>
        <v>Jira</v>
      </c>
      <c r="E76" s="57"/>
      <c r="F76" s="57"/>
      <c r="G76" s="58"/>
      <c r="H76" s="59"/>
      <c r="I76" s="60">
        <f>SUM(I77:I78)</f>
        <v>10</v>
      </c>
      <c r="J76" s="61">
        <f>SUM(J77:J78)</f>
        <v>0</v>
      </c>
      <c r="K76" s="62"/>
      <c r="L76" s="63"/>
      <c r="M76" s="64"/>
      <c r="N76" s="65">
        <f t="shared" si="7"/>
        <v>10</v>
      </c>
      <c r="O76" s="66">
        <f t="shared" si="15"/>
        <v>0</v>
      </c>
      <c r="P76" s="20">
        <f t="shared" si="16"/>
        <v>1</v>
      </c>
    </row>
    <row r="77" spans="1:16" ht="15.75" customHeight="1">
      <c r="A77" s="44" t="s">
        <v>125</v>
      </c>
      <c r="B77" s="12"/>
      <c r="C77" s="13"/>
      <c r="D77" s="52"/>
      <c r="E77" s="13" t="s">
        <v>203</v>
      </c>
      <c r="F77" s="13" t="s">
        <v>204</v>
      </c>
      <c r="G77" s="51" t="str">
        <f t="shared" si="1"/>
        <v>Jira</v>
      </c>
      <c r="H77" s="24" t="s">
        <v>21</v>
      </c>
      <c r="I77" s="23">
        <v>5</v>
      </c>
      <c r="J77" s="48">
        <v>0</v>
      </c>
      <c r="K77" s="19"/>
      <c r="L77" s="16"/>
      <c r="M77" s="50"/>
      <c r="N77" s="40">
        <f t="shared" si="7"/>
        <v>5</v>
      </c>
      <c r="O77" s="17">
        <f t="shared" si="15"/>
        <v>0</v>
      </c>
      <c r="P77" s="20">
        <f t="shared" si="16"/>
        <v>1</v>
      </c>
    </row>
    <row r="78" spans="1:16" ht="15.75" customHeight="1">
      <c r="A78" s="44" t="s">
        <v>125</v>
      </c>
      <c r="B78" s="12"/>
      <c r="C78" s="13"/>
      <c r="D78" s="52"/>
      <c r="E78" s="13" t="s">
        <v>205</v>
      </c>
      <c r="F78" s="13" t="s">
        <v>206</v>
      </c>
      <c r="G78" s="51" t="str">
        <f t="shared" si="1"/>
        <v>Jira</v>
      </c>
      <c r="H78" s="24" t="s">
        <v>21</v>
      </c>
      <c r="I78" s="23">
        <v>5</v>
      </c>
      <c r="J78" s="48">
        <v>0</v>
      </c>
      <c r="K78" s="19"/>
      <c r="L78" s="16"/>
      <c r="M78" s="50"/>
      <c r="N78" s="40">
        <f t="shared" si="7"/>
        <v>5</v>
      </c>
      <c r="O78" s="17">
        <f t="shared" si="15"/>
        <v>0</v>
      </c>
      <c r="P78" s="20">
        <f t="shared" si="16"/>
        <v>1</v>
      </c>
    </row>
    <row r="79" spans="1:16" ht="15.75" customHeight="1">
      <c r="A79" s="44" t="s">
        <v>125</v>
      </c>
      <c r="B79" s="68" t="s">
        <v>207</v>
      </c>
      <c r="C79" s="57" t="s">
        <v>208</v>
      </c>
      <c r="D79" s="56" t="str">
        <f t="shared" si="0"/>
        <v>Jira</v>
      </c>
      <c r="E79" s="57"/>
      <c r="F79" s="57"/>
      <c r="G79" s="58"/>
      <c r="H79" s="59" t="s">
        <v>21</v>
      </c>
      <c r="I79" s="60">
        <v>13</v>
      </c>
      <c r="J79" s="61">
        <v>0</v>
      </c>
      <c r="K79" s="62"/>
      <c r="L79" s="63"/>
      <c r="M79" s="64"/>
      <c r="N79" s="65">
        <f t="shared" si="7"/>
        <v>13</v>
      </c>
      <c r="O79" s="66">
        <f t="shared" si="15"/>
        <v>0</v>
      </c>
      <c r="P79" s="20">
        <f t="shared" si="16"/>
        <v>1</v>
      </c>
    </row>
    <row r="80" spans="1:16" ht="15.75" customHeight="1">
      <c r="A80" s="44" t="s">
        <v>125</v>
      </c>
      <c r="B80" s="68" t="s">
        <v>209</v>
      </c>
      <c r="C80" s="57" t="s">
        <v>210</v>
      </c>
      <c r="D80" s="56" t="str">
        <f t="shared" si="0"/>
        <v>Jira</v>
      </c>
      <c r="E80" s="57"/>
      <c r="F80" s="57"/>
      <c r="G80" s="58"/>
      <c r="H80" s="59"/>
      <c r="I80" s="60">
        <f>SUM(I81:I82)</f>
        <v>1.75</v>
      </c>
      <c r="J80" s="61">
        <f>SUM(J81:J82)</f>
        <v>0</v>
      </c>
      <c r="K80" s="62"/>
      <c r="L80" s="63"/>
      <c r="M80" s="64"/>
      <c r="N80" s="65">
        <f t="shared" si="7"/>
        <v>1.75</v>
      </c>
      <c r="O80" s="66">
        <f t="shared" si="15"/>
        <v>0</v>
      </c>
      <c r="P80" s="20">
        <f t="shared" si="16"/>
        <v>1</v>
      </c>
    </row>
    <row r="81" spans="1:16" ht="15.75" customHeight="1">
      <c r="A81" s="44" t="s">
        <v>125</v>
      </c>
      <c r="B81" s="12"/>
      <c r="C81" s="13"/>
      <c r="D81" s="52"/>
      <c r="E81" s="13" t="s">
        <v>211</v>
      </c>
      <c r="F81" s="13" t="s">
        <v>212</v>
      </c>
      <c r="G81" s="51" t="str">
        <f t="shared" si="1"/>
        <v>Jira</v>
      </c>
      <c r="H81" s="24" t="s">
        <v>25</v>
      </c>
      <c r="I81" s="23">
        <v>0.5</v>
      </c>
      <c r="J81" s="48">
        <v>0</v>
      </c>
      <c r="K81" s="19"/>
      <c r="L81" s="16"/>
      <c r="M81" s="50"/>
      <c r="N81" s="40">
        <f t="shared" si="7"/>
        <v>0.5</v>
      </c>
      <c r="O81" s="17">
        <f t="shared" si="15"/>
        <v>0</v>
      </c>
      <c r="P81" s="20">
        <f t="shared" si="16"/>
        <v>1</v>
      </c>
    </row>
    <row r="82" spans="1:16" ht="15.75" customHeight="1">
      <c r="A82" s="44" t="s">
        <v>125</v>
      </c>
      <c r="B82" s="12"/>
      <c r="C82" s="13"/>
      <c r="D82" s="52"/>
      <c r="E82" s="13" t="s">
        <v>213</v>
      </c>
      <c r="F82" s="13" t="s">
        <v>214</v>
      </c>
      <c r="G82" s="51" t="str">
        <f t="shared" si="1"/>
        <v>Jira</v>
      </c>
      <c r="H82" s="24" t="s">
        <v>25</v>
      </c>
      <c r="I82" s="23">
        <v>1.25</v>
      </c>
      <c r="J82" s="48">
        <v>0</v>
      </c>
      <c r="K82" s="19"/>
      <c r="L82" s="16"/>
      <c r="M82" s="50"/>
      <c r="N82" s="40">
        <f t="shared" si="7"/>
        <v>1.25</v>
      </c>
      <c r="O82" s="17">
        <f t="shared" si="15"/>
        <v>0</v>
      </c>
      <c r="P82" s="20">
        <f t="shared" si="16"/>
        <v>1</v>
      </c>
    </row>
    <row r="83" spans="1:16" ht="15.75" customHeight="1">
      <c r="A83" s="44" t="s">
        <v>125</v>
      </c>
      <c r="B83" s="68" t="s">
        <v>215</v>
      </c>
      <c r="C83" s="57" t="s">
        <v>216</v>
      </c>
      <c r="D83" s="56" t="str">
        <f t="shared" ref="D83" si="21">HYPERLINK("https://jira.constellation.soprasteria.com/browse/CARTEJEUNE_"&amp;B83,"Jira")</f>
        <v>Jira</v>
      </c>
      <c r="E83" s="57"/>
      <c r="F83" s="57"/>
      <c r="G83" s="58"/>
      <c r="H83" s="59"/>
      <c r="I83" s="60">
        <f>SUM(I84:I85)</f>
        <v>2.25</v>
      </c>
      <c r="J83" s="61">
        <f>SUM(J84:J85)</f>
        <v>0.5</v>
      </c>
      <c r="K83" s="62"/>
      <c r="L83" s="63"/>
      <c r="M83" s="64"/>
      <c r="N83" s="65">
        <f t="shared" ref="N83:N86" si="22">IFERROR(I83+K83,"N/A")</f>
        <v>2.25</v>
      </c>
      <c r="O83" s="66">
        <f t="shared" ref="O83:O86" si="23">IFERROR(J83+M83,"N/A")</f>
        <v>0.5</v>
      </c>
      <c r="P83" s="20">
        <f t="shared" ref="P83:P86" si="24">IF(N83=0,0,(N83-O83)/N83)</f>
        <v>0.77777777777777779</v>
      </c>
    </row>
    <row r="84" spans="1:16" ht="15.75" customHeight="1">
      <c r="A84" s="44" t="s">
        <v>125</v>
      </c>
      <c r="B84" s="12"/>
      <c r="C84" s="13"/>
      <c r="D84" s="52"/>
      <c r="E84" s="13" t="s">
        <v>217</v>
      </c>
      <c r="F84" s="13" t="s">
        <v>218</v>
      </c>
      <c r="G84" s="51" t="str">
        <f t="shared" ref="G84" si="25">HYPERLINK("https://jira.constellation.soprasteria.com/browse/CARTEJEUNE_"&amp;E84,"Jira")</f>
        <v>Jira</v>
      </c>
      <c r="H84" s="24" t="s">
        <v>23</v>
      </c>
      <c r="I84" s="23">
        <v>0.25</v>
      </c>
      <c r="J84" s="48">
        <v>0</v>
      </c>
      <c r="K84" s="19"/>
      <c r="L84" s="16"/>
      <c r="M84" s="50"/>
      <c r="N84" s="40">
        <f t="shared" si="22"/>
        <v>0.25</v>
      </c>
      <c r="O84" s="17">
        <f t="shared" si="23"/>
        <v>0</v>
      </c>
      <c r="P84" s="20">
        <f t="shared" si="24"/>
        <v>1</v>
      </c>
    </row>
    <row r="85" spans="1:16" ht="15.75" customHeight="1">
      <c r="A85" s="44"/>
      <c r="B85" s="12"/>
      <c r="C85" s="13"/>
      <c r="D85" s="52"/>
      <c r="E85" s="13" t="s">
        <v>219</v>
      </c>
      <c r="F85" s="13" t="s">
        <v>220</v>
      </c>
      <c r="G85" s="51"/>
      <c r="H85" s="24" t="s">
        <v>23</v>
      </c>
      <c r="I85" s="23">
        <v>2</v>
      </c>
      <c r="J85" s="48">
        <v>0.5</v>
      </c>
      <c r="K85" s="19"/>
      <c r="L85" s="16"/>
      <c r="M85" s="50"/>
      <c r="N85" s="40">
        <f t="shared" si="22"/>
        <v>2</v>
      </c>
      <c r="O85" s="17">
        <f t="shared" si="23"/>
        <v>0.5</v>
      </c>
      <c r="P85" s="20">
        <f t="shared" si="24"/>
        <v>0.75</v>
      </c>
    </row>
    <row r="86" spans="1:16" ht="15.75" customHeight="1">
      <c r="A86" s="44"/>
      <c r="B86" s="12"/>
      <c r="C86" s="13"/>
      <c r="D86" s="52"/>
      <c r="E86" s="13" t="s">
        <v>221</v>
      </c>
      <c r="F86" s="13" t="s">
        <v>222</v>
      </c>
      <c r="G86" s="51"/>
      <c r="H86" s="24" t="s">
        <v>23</v>
      </c>
      <c r="I86" s="23">
        <v>0.5</v>
      </c>
      <c r="J86" s="48">
        <v>0</v>
      </c>
      <c r="K86" s="19"/>
      <c r="L86" s="16"/>
      <c r="M86" s="50"/>
      <c r="N86" s="40">
        <f t="shared" si="22"/>
        <v>0.5</v>
      </c>
      <c r="O86" s="17">
        <f t="shared" si="23"/>
        <v>0</v>
      </c>
      <c r="P86" s="20">
        <f t="shared" si="24"/>
        <v>1</v>
      </c>
    </row>
    <row r="87" spans="1:16" ht="15.75" customHeight="1">
      <c r="A87" s="44" t="s">
        <v>95</v>
      </c>
      <c r="B87" s="12" t="s">
        <v>223</v>
      </c>
      <c r="C87" s="13" t="s">
        <v>224</v>
      </c>
      <c r="D87" s="52" t="str">
        <f t="shared" si="0"/>
        <v>Jira</v>
      </c>
      <c r="E87" s="13"/>
      <c r="F87" s="13"/>
      <c r="G87" s="51"/>
      <c r="H87" s="24"/>
      <c r="I87" s="23">
        <v>0</v>
      </c>
      <c r="J87" s="48">
        <v>0</v>
      </c>
      <c r="K87" s="19"/>
      <c r="L87" s="16"/>
      <c r="M87" s="50"/>
      <c r="N87" s="40">
        <f>IFERROR(I87+K87,"N/A")</f>
        <v>0</v>
      </c>
      <c r="O87" s="17">
        <f>IFERROR(J87+M87,"N/A")</f>
        <v>0</v>
      </c>
      <c r="P87" s="20">
        <f>IF(N87=0,0,(N87-O87)/N87)</f>
        <v>0</v>
      </c>
    </row>
    <row r="88" spans="1:16" ht="15.75" customHeight="1">
      <c r="A88" s="44" t="s">
        <v>155</v>
      </c>
      <c r="B88" s="12" t="s">
        <v>225</v>
      </c>
      <c r="C88" s="13" t="s">
        <v>226</v>
      </c>
      <c r="D88" s="52" t="str">
        <f t="shared" si="0"/>
        <v>Jira</v>
      </c>
      <c r="E88" s="13"/>
      <c r="F88" s="13"/>
      <c r="G88" s="51"/>
      <c r="H88" s="24" t="s">
        <v>25</v>
      </c>
      <c r="I88" s="23">
        <v>3</v>
      </c>
      <c r="J88" s="48">
        <v>1</v>
      </c>
      <c r="K88" s="19"/>
      <c r="L88" s="16"/>
      <c r="M88" s="50"/>
      <c r="N88" s="40">
        <f t="shared" si="7"/>
        <v>3</v>
      </c>
      <c r="O88" s="17">
        <f t="shared" si="15"/>
        <v>1</v>
      </c>
      <c r="P88" s="20">
        <f t="shared" si="16"/>
        <v>0.66666666666666663</v>
      </c>
    </row>
    <row r="89" spans="1:16" ht="15.75" customHeight="1">
      <c r="A89" s="44" t="s">
        <v>155</v>
      </c>
      <c r="B89" s="12" t="s">
        <v>227</v>
      </c>
      <c r="C89" s="13" t="s">
        <v>228</v>
      </c>
      <c r="D89" s="52" t="str">
        <f t="shared" si="0"/>
        <v>Jira</v>
      </c>
      <c r="E89" s="13"/>
      <c r="F89" s="13"/>
      <c r="G89" s="51"/>
      <c r="H89" s="24"/>
      <c r="I89" s="23">
        <v>0</v>
      </c>
      <c r="J89" s="48">
        <v>0</v>
      </c>
      <c r="K89" s="19"/>
      <c r="L89" s="16"/>
      <c r="M89" s="50"/>
      <c r="N89" s="40">
        <f t="shared" si="7"/>
        <v>0</v>
      </c>
      <c r="O89" s="17">
        <f t="shared" si="15"/>
        <v>0</v>
      </c>
      <c r="P89" s="20">
        <f t="shared" si="16"/>
        <v>0</v>
      </c>
    </row>
    <row r="90" spans="1:16" ht="15.75" customHeight="1">
      <c r="A90" s="44" t="s">
        <v>155</v>
      </c>
      <c r="B90" s="12" t="s">
        <v>229</v>
      </c>
      <c r="C90" s="13" t="s">
        <v>230</v>
      </c>
      <c r="D90" s="52" t="str">
        <f t="shared" si="0"/>
        <v>Jira</v>
      </c>
      <c r="E90" s="13"/>
      <c r="F90" s="13"/>
      <c r="G90" s="51"/>
      <c r="H90" s="24"/>
      <c r="I90" s="23">
        <v>3</v>
      </c>
      <c r="J90" s="48">
        <v>3</v>
      </c>
      <c r="K90" s="19"/>
      <c r="L90" s="16"/>
      <c r="M90" s="50"/>
      <c r="N90" s="40">
        <f t="shared" si="7"/>
        <v>3</v>
      </c>
      <c r="O90" s="17">
        <f t="shared" si="15"/>
        <v>3</v>
      </c>
      <c r="P90" s="20">
        <f t="shared" si="16"/>
        <v>0</v>
      </c>
    </row>
    <row r="91" spans="1:16" ht="15.75" customHeight="1">
      <c r="A91" s="44" t="s">
        <v>155</v>
      </c>
      <c r="B91" s="12" t="s">
        <v>231</v>
      </c>
      <c r="C91" s="13" t="s">
        <v>232</v>
      </c>
      <c r="D91" s="52" t="str">
        <f t="shared" si="0"/>
        <v>Jira</v>
      </c>
      <c r="E91" s="13"/>
      <c r="F91" s="13"/>
      <c r="G91" s="51"/>
      <c r="H91" s="24"/>
      <c r="I91" s="23">
        <v>0</v>
      </c>
      <c r="J91" s="48">
        <v>0</v>
      </c>
      <c r="K91" s="19"/>
      <c r="L91" s="16"/>
      <c r="M91" s="50"/>
      <c r="N91" s="40">
        <f>IFERROR(I91+K91,"N/A")</f>
        <v>0</v>
      </c>
      <c r="O91" s="17">
        <f>IFERROR(J91+M91,"N/A")</f>
        <v>0</v>
      </c>
      <c r="P91" s="20">
        <f>IF(N91=0,0,(N91-O91)/N91)</f>
        <v>0</v>
      </c>
    </row>
    <row r="92" spans="1:16" ht="15.75" customHeight="1">
      <c r="A92" s="44" t="s">
        <v>155</v>
      </c>
      <c r="B92" s="12" t="s">
        <v>233</v>
      </c>
      <c r="C92" s="13" t="s">
        <v>234</v>
      </c>
      <c r="D92" s="52" t="str">
        <f>HYPERLINK("https://jira.constellation.soprasteria.com/browse/CARTEJEUNE_"&amp;B92,"Jira")</f>
        <v>Jira</v>
      </c>
      <c r="E92" s="13"/>
      <c r="F92" s="13"/>
      <c r="G92" s="51"/>
      <c r="H92" s="24"/>
      <c r="I92" s="23">
        <v>2</v>
      </c>
      <c r="J92" s="48">
        <v>2</v>
      </c>
      <c r="K92" s="19"/>
      <c r="L92" s="16"/>
      <c r="M92" s="50"/>
      <c r="N92" s="40">
        <f>IFERROR(I92+K92,"N/A")</f>
        <v>2</v>
      </c>
      <c r="O92" s="17">
        <f>IFERROR(J92+M92,"N/A")</f>
        <v>2</v>
      </c>
      <c r="P92" s="20">
        <f>IF(N92=0,0,(N92-O92)/N92)</f>
        <v>0</v>
      </c>
    </row>
    <row r="93" spans="1:16" ht="15.75" customHeight="1">
      <c r="A93" s="44" t="s">
        <v>155</v>
      </c>
      <c r="B93" s="12" t="s">
        <v>235</v>
      </c>
      <c r="C93" s="13" t="s">
        <v>236</v>
      </c>
      <c r="D93" s="52" t="str">
        <f t="shared" si="0"/>
        <v>Jira</v>
      </c>
      <c r="E93" s="13"/>
      <c r="F93" s="13"/>
      <c r="G93" s="51"/>
      <c r="H93" s="24"/>
      <c r="I93" s="23">
        <v>3</v>
      </c>
      <c r="J93" s="48">
        <v>3</v>
      </c>
      <c r="K93" s="19"/>
      <c r="L93" s="16"/>
      <c r="M93" s="50"/>
      <c r="N93" s="40">
        <f t="shared" si="7"/>
        <v>3</v>
      </c>
      <c r="O93" s="17">
        <f t="shared" si="15"/>
        <v>3</v>
      </c>
      <c r="P93" s="20">
        <f t="shared" si="16"/>
        <v>0</v>
      </c>
    </row>
    <row r="94" spans="1:16" ht="18">
      <c r="A94" s="44" t="s">
        <v>95</v>
      </c>
      <c r="B94" s="12" t="s">
        <v>237</v>
      </c>
      <c r="C94" s="13" t="s">
        <v>238</v>
      </c>
      <c r="D94" s="52" t="str">
        <f t="shared" ref="D94:D97" si="26">HYPERLINK("https://jira.constellation.soprasteria.com/browse/CARTEJEUNE_"&amp;B94,"Jira")</f>
        <v>Jira</v>
      </c>
      <c r="E94" s="13"/>
      <c r="F94" s="13"/>
      <c r="G94" s="51"/>
      <c r="H94" s="24"/>
      <c r="I94" s="23">
        <v>3</v>
      </c>
      <c r="J94" s="48">
        <v>3</v>
      </c>
      <c r="K94" s="19"/>
      <c r="L94" s="16"/>
      <c r="M94" s="50"/>
      <c r="N94" s="40">
        <f t="shared" ref="N94" si="27">IFERROR(I94+K94,"N/A")</f>
        <v>3</v>
      </c>
      <c r="O94" s="17">
        <f t="shared" ref="O94" si="28">IFERROR(J94+M94,"N/A")</f>
        <v>3</v>
      </c>
      <c r="P94" s="20">
        <f t="shared" ref="P94" si="29">IF(N94=0,0,(N94-O94)/N94)</f>
        <v>0</v>
      </c>
    </row>
    <row r="95" spans="1:16" ht="18">
      <c r="A95" s="44" t="s">
        <v>95</v>
      </c>
      <c r="B95" s="12" t="s">
        <v>239</v>
      </c>
      <c r="C95" s="13" t="s">
        <v>240</v>
      </c>
      <c r="D95" s="52" t="str">
        <f t="shared" si="26"/>
        <v>Jira</v>
      </c>
      <c r="E95" s="13"/>
      <c r="F95" s="13"/>
      <c r="G95" s="51"/>
      <c r="H95" s="24" t="s">
        <v>15</v>
      </c>
      <c r="I95" s="23">
        <v>0</v>
      </c>
      <c r="J95" s="48">
        <v>0</v>
      </c>
      <c r="K95" s="19"/>
      <c r="L95" s="16"/>
      <c r="M95" s="50"/>
      <c r="N95" s="40">
        <f>IFERROR(I95+K95,"N/A")</f>
        <v>0</v>
      </c>
      <c r="O95" s="17">
        <f>IFERROR(J95+M95,"N/A")</f>
        <v>0</v>
      </c>
      <c r="P95" s="20">
        <f>IF(N95=0,0,(N95-O95)/N95)</f>
        <v>0</v>
      </c>
    </row>
    <row r="96" spans="1:16" ht="18">
      <c r="A96" s="44" t="s">
        <v>95</v>
      </c>
      <c r="B96" s="12" t="s">
        <v>241</v>
      </c>
      <c r="C96" s="13" t="s">
        <v>242</v>
      </c>
      <c r="D96" s="52" t="str">
        <f t="shared" si="26"/>
        <v>Jira</v>
      </c>
      <c r="E96" s="13"/>
      <c r="F96" s="13"/>
      <c r="G96" s="51"/>
      <c r="H96" s="24" t="s">
        <v>15</v>
      </c>
      <c r="I96" s="23">
        <v>0</v>
      </c>
      <c r="J96" s="48">
        <v>0</v>
      </c>
      <c r="K96" s="19"/>
      <c r="L96" s="16"/>
      <c r="M96" s="50"/>
      <c r="N96" s="40">
        <f>IFERROR(I96+K96,"N/A")</f>
        <v>0</v>
      </c>
      <c r="O96" s="17">
        <f>IFERROR(J96+M96,"N/A")</f>
        <v>0</v>
      </c>
      <c r="P96" s="20">
        <f>IF(N96=0,0,(N96-O96)/N96)</f>
        <v>0</v>
      </c>
    </row>
    <row r="97" spans="1:18" ht="18">
      <c r="A97" s="44" t="s">
        <v>95</v>
      </c>
      <c r="B97" s="12" t="s">
        <v>243</v>
      </c>
      <c r="C97" s="13" t="s">
        <v>244</v>
      </c>
      <c r="D97" s="52" t="str">
        <f t="shared" si="26"/>
        <v>Jira</v>
      </c>
      <c r="E97" s="13"/>
      <c r="F97" s="13"/>
      <c r="G97" s="51"/>
      <c r="H97" s="24"/>
      <c r="I97" s="23">
        <v>0</v>
      </c>
      <c r="J97" s="48">
        <v>0</v>
      </c>
      <c r="K97" s="19"/>
      <c r="L97" s="16"/>
      <c r="M97" s="50"/>
      <c r="N97" s="40">
        <f>IFERROR(I97+K97,"N/A")</f>
        <v>0</v>
      </c>
      <c r="O97" s="17">
        <f>IFERROR(J97+M97,"N/A")</f>
        <v>0</v>
      </c>
      <c r="P97" s="20">
        <f>IF(N97=0,0,(N97-O97)/N97)</f>
        <v>0</v>
      </c>
    </row>
    <row r="98" spans="1:18" ht="15.75" customHeight="1">
      <c r="A98" s="44" t="s">
        <v>245</v>
      </c>
      <c r="B98" s="12" t="s">
        <v>246</v>
      </c>
      <c r="C98" s="13" t="s">
        <v>247</v>
      </c>
      <c r="D98" s="52" t="str">
        <f t="shared" ref="D98" si="30">HYPERLINK("https://jira.constellation.soprasteria.com/browse/CARTEJEUNE_"&amp;B98,"Jira")</f>
        <v>Jira</v>
      </c>
      <c r="E98" s="13"/>
      <c r="F98" s="13"/>
      <c r="G98" s="51"/>
      <c r="H98" s="24" t="s">
        <v>19</v>
      </c>
      <c r="I98" s="23">
        <v>0</v>
      </c>
      <c r="J98" s="48">
        <v>0</v>
      </c>
      <c r="K98" s="19"/>
      <c r="L98" s="16"/>
      <c r="M98" s="50"/>
      <c r="N98" s="40">
        <f t="shared" ref="N98" si="31">IFERROR(I98+K98,"N/A")</f>
        <v>0</v>
      </c>
      <c r="O98" s="17">
        <f t="shared" ref="O98" si="32">IFERROR(J98+M98,"N/A")</f>
        <v>0</v>
      </c>
      <c r="P98" s="20">
        <f t="shared" si="16"/>
        <v>0</v>
      </c>
    </row>
    <row r="99" spans="1:18" ht="24.75" customHeight="1" thickBot="1">
      <c r="B99" s="53" t="s">
        <v>40</v>
      </c>
      <c r="C99" s="54"/>
      <c r="D99" s="54"/>
      <c r="E99" s="54"/>
      <c r="F99" s="54"/>
      <c r="G99" s="54"/>
      <c r="H99" s="54"/>
      <c r="I99" s="54">
        <f>SUM(I4,I24,I32,I33,I34,I36,I40,I45,I46,I47,I48,I61,I87,I50,I55,I58,I62,I65,I66,I71,I76,I79,I80,I88,I89,I90,I93,I92,I27,I44,I98,I91,I94,I95,I96,I97)</f>
        <v>153.75</v>
      </c>
      <c r="J99" s="54">
        <f>SUM(J4,J24,J32,J33,J34,J36,J40,J45,J46,J47,J48,J61,J87,J50,J55,J58,J62,J65,J66,J71,J76,J79,J80,J88,J89,J90,J93,J92,J27,J44,J98,J91,J94,J95,J96,J97)</f>
        <v>48.25</v>
      </c>
      <c r="K99" s="54">
        <f t="shared" ref="K99:M99" si="33">SUM(K4,K32,K33,K34,K36,K40,K50,K55,K58,K62,K65,K66,K71,K76,K79,K80,K88,K89,K90,K93,K92,K27,K44,K98)</f>
        <v>0</v>
      </c>
      <c r="L99" s="54">
        <f t="shared" si="33"/>
        <v>0</v>
      </c>
      <c r="M99" s="54">
        <f t="shared" si="33"/>
        <v>0</v>
      </c>
      <c r="N99" s="54">
        <f>SUM(N4,N24,N32,N33,N34,N36,N40,N45,N46,N47,N48,N61,N87,N50,N55,N58,N62,N65,N66,N71,N76,N79,N80,N88,N89,N90,N93,N92,N27,N44,N98,N91,N94,N95,N96,N97)</f>
        <v>153.75</v>
      </c>
      <c r="O99" s="54">
        <f>SUM(O4,O24,O32,O33,O34,O36,O40,O45,O46,O47,O48,O61,O87,O50,O55,O58,O62,O65,O66,O71,O76,O79,O80,O88,O89,O90,O93,O92,O27,O44,O98,O91,O94,O95,O96,O97)</f>
        <v>48.25</v>
      </c>
      <c r="P99" s="21">
        <f>IF(N99=0,0,(N99-O99)/N99)</f>
        <v>0.68617886178861787</v>
      </c>
      <c r="R99" s="2">
        <f>N99-O99</f>
        <v>105.5</v>
      </c>
    </row>
    <row r="100" spans="1:18" ht="18">
      <c r="F100" s="9" t="s">
        <v>248</v>
      </c>
      <c r="G100" s="9"/>
      <c r="H100" s="10"/>
      <c r="J100" s="7">
        <f>(I99-J99)/I99</f>
        <v>0.68617886178861787</v>
      </c>
      <c r="M100" s="39" t="e">
        <f>(K99-M99)/K99</f>
        <v>#DIV/0!</v>
      </c>
      <c r="P100" s="10">
        <f>IF(N99=0,0,(N99-O99)/N99)</f>
        <v>0.68617886178861787</v>
      </c>
      <c r="R100" s="15"/>
    </row>
    <row r="102" spans="1:18">
      <c r="C102" t="s">
        <v>37</v>
      </c>
      <c r="J102" t="s">
        <v>37</v>
      </c>
      <c r="P102" t="s">
        <v>37</v>
      </c>
    </row>
    <row r="103" spans="1:18">
      <c r="F103" t="s">
        <v>37</v>
      </c>
      <c r="H103" t="s">
        <v>37</v>
      </c>
    </row>
    <row r="104" spans="1:18">
      <c r="B104" t="s">
        <v>249</v>
      </c>
      <c r="C104" t="s">
        <v>92</v>
      </c>
      <c r="I104">
        <f>SUM(I4,I32,I33,I34,I36,I40,I50,I55,I58,I62,I65,I66,I71,I76,I79,I80,I88,I89,I90,I93,I92,I27,I44,I98)</f>
        <v>144.25</v>
      </c>
      <c r="M104" t="s">
        <v>37</v>
      </c>
      <c r="R104" t="s">
        <v>37</v>
      </c>
    </row>
    <row r="105" spans="1:18">
      <c r="B105" t="s">
        <v>250</v>
      </c>
      <c r="C105" t="s">
        <v>125</v>
      </c>
      <c r="Q105" t="s">
        <v>37</v>
      </c>
    </row>
    <row r="106" spans="1:18">
      <c r="B106" t="s">
        <v>251</v>
      </c>
      <c r="C106" t="s">
        <v>155</v>
      </c>
      <c r="F106" s="44"/>
      <c r="G106" s="44"/>
      <c r="R106" t="s">
        <v>37</v>
      </c>
    </row>
    <row r="107" spans="1:18">
      <c r="B107" t="s">
        <v>252</v>
      </c>
      <c r="C107" t="s">
        <v>95</v>
      </c>
      <c r="F107" s="44"/>
      <c r="G107" s="44"/>
    </row>
    <row r="119" spans="6:6">
      <c r="F119" t="s">
        <v>37</v>
      </c>
    </row>
  </sheetData>
  <autoFilter ref="A1:A119" xr:uid="{00000000-0001-0000-0000-000000000000}"/>
  <mergeCells count="5">
    <mergeCell ref="N2:O2"/>
    <mergeCell ref="K2:M2"/>
    <mergeCell ref="H2:J2"/>
    <mergeCell ref="E3:G3"/>
    <mergeCell ref="B3:D3"/>
  </mergeCells>
  <phoneticPr fontId="10" type="noConversion"/>
  <conditionalFormatting sqref="H100">
    <cfRule type="dataBar" priority="98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{D08424D5-6321-4473-8E9C-C6BC85FD7209}</x14:id>
        </ext>
      </extLst>
    </cfRule>
    <cfRule type="dataBar" priority="9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{F11294FC-A9EA-4CEE-AF13-5CB5ECC3A31E}</x14:id>
        </ext>
      </extLst>
    </cfRule>
  </conditionalFormatting>
  <conditionalFormatting sqref="J100">
    <cfRule type="dataBar" priority="7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{EE941817-88AF-463B-B1AC-0C073696D615}</x14:id>
        </ext>
      </extLst>
    </cfRule>
    <cfRule type="dataBar" priority="7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{92660615-2D5A-4E78-899F-D2F38C10DF88}</x14:id>
        </ext>
      </extLst>
    </cfRule>
  </conditionalFormatting>
  <conditionalFormatting sqref="L4:L98">
    <cfRule type="expression" dxfId="14" priority="1">
      <formula>$L4="OK"</formula>
    </cfRule>
  </conditionalFormatting>
  <conditionalFormatting sqref="M100">
    <cfRule type="dataBar" priority="9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{63B35940-79CF-4020-809E-4F7EAEE3AD54}</x14:id>
        </ext>
      </extLst>
    </cfRule>
    <cfRule type="dataBar" priority="9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{E44AC3A2-E135-4778-A47C-6E6CF2668B97}</x14:id>
        </ext>
      </extLst>
    </cfRule>
  </conditionalFormatting>
  <conditionalFormatting sqref="P55:P57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{47AA2FC0-F834-4BC9-B94F-5B00020293B5}</x14:id>
        </ext>
      </extLst>
    </cfRule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{88625D4A-6B4A-47A7-AF79-42171CDCAD19}</x14:id>
        </ext>
      </extLst>
    </cfRule>
  </conditionalFormatting>
  <conditionalFormatting sqref="P58:P99 P4:P54">
    <cfRule type="dataBar" priority="9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{8869B471-E8AF-40C5-A4A5-D42AAD13ED61}</x14:id>
        </ext>
      </extLst>
    </cfRule>
    <cfRule type="dataBar" priority="9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{3D40A80E-C96B-4EFE-BCAD-635FEFFABAA0}</x14:id>
        </ext>
      </extLst>
    </cfRule>
  </conditionalFormatting>
  <conditionalFormatting sqref="P100">
    <cfRule type="dataBar" priority="9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{C04E8757-F6AC-45EC-B871-52C3EB1DEF70}</x14:id>
        </ext>
      </extLst>
    </cfRule>
    <cfRule type="dataBar" priority="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{BDDBB37B-B3A3-4383-88B9-A8652CACC59A}</x14:id>
        </ext>
      </extLst>
    </cfRule>
  </conditionalFormatting>
  <pageMargins left="0.7" right="0.7" top="0.75" bottom="0.75" header="0.3" footer="0.3"/>
  <pageSetup paperSize="9" orientation="portrait" r:id="rId1"/>
  <headerFooter>
    <oddFooter>&amp;L&amp;1#&amp;"Tahoma"&amp;9&amp;KCF022BC2 – Usage restreint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08424D5-6321-4473-8E9C-C6BC85FD7209}">
            <x14:dataBar minLength="0" maxLength="100" border="1" negativeBarColorSameAsPositive="1" negativeBarBorderColorSameAsPositive="0" axisPosition="none">
              <x14:cfvo type="autoMin"/>
              <x14:cfvo type="autoMax"/>
              <x14:borderColor rgb="FFFF555A"/>
              <x14:negativeBorderColor rgb="FF638EC6"/>
            </x14:dataBar>
          </x14:cfRule>
          <x14:cfRule type="dataBar" id="{F11294FC-A9EA-4CEE-AF13-5CB5ECC3A31E}">
            <x14:dataBar minLength="0" maxLength="100" border="1" negativeBarColorSameAsPositive="1" negativeBarBorderColorSameAsPositive="0" axisPosition="none">
              <x14:cfvo type="autoMin"/>
              <x14:cfvo type="autoMax"/>
              <x14:borderColor rgb="FF638EC6"/>
              <x14:negativeBorderColor rgb="FF638EC6"/>
            </x14:dataBar>
          </x14:cfRule>
          <xm:sqref>H100</xm:sqref>
        </x14:conditionalFormatting>
        <x14:conditionalFormatting xmlns:xm="http://schemas.microsoft.com/office/excel/2006/main">
          <x14:cfRule type="dataBar" id="{EE941817-88AF-463B-B1AC-0C073696D615}">
            <x14:dataBar minLength="0" maxLength="100" border="1" negativeBarColorSameAsPositive="1" negativeBarBorderColorSameAsPositive="0" axisPosition="none">
              <x14:cfvo type="autoMin"/>
              <x14:cfvo type="autoMax"/>
              <x14:borderColor rgb="FFFF555A"/>
              <x14:negativeBorderColor rgb="FF638EC6"/>
            </x14:dataBar>
          </x14:cfRule>
          <x14:cfRule type="dataBar" id="{92660615-2D5A-4E78-899F-D2F38C10DF88}">
            <x14:dataBar minLength="0" maxLength="100" border="1" negativeBarColorSameAsPositive="1" negativeBarBorderColorSameAsPositive="0" axisPosition="none">
              <x14:cfvo type="autoMin"/>
              <x14:cfvo type="autoMax"/>
              <x14:borderColor rgb="FF638EC6"/>
              <x14:negativeBorderColor rgb="FF638EC6"/>
            </x14:dataBar>
          </x14:cfRule>
          <xm:sqref>J100</xm:sqref>
        </x14:conditionalFormatting>
        <x14:conditionalFormatting xmlns:xm="http://schemas.microsoft.com/office/excel/2006/main">
          <x14:cfRule type="dataBar" id="{63B35940-79CF-4020-809E-4F7EAEE3AD54}">
            <x14:dataBar minLength="0" maxLength="100" border="1" negativeBarColorSameAsPositive="1" negativeBarBorderColorSameAsPositive="0" axisPosition="none">
              <x14:cfvo type="autoMin"/>
              <x14:cfvo type="autoMax"/>
              <x14:borderColor rgb="FFFF555A"/>
              <x14:negativeBorderColor rgb="FF638EC6"/>
            </x14:dataBar>
          </x14:cfRule>
          <x14:cfRule type="dataBar" id="{E44AC3A2-E135-4778-A47C-6E6CF2668B97}">
            <x14:dataBar minLength="0" maxLength="100" border="1" negativeBarColorSameAsPositive="1" negativeBarBorderColorSameAsPositive="0" axisPosition="none">
              <x14:cfvo type="autoMin"/>
              <x14:cfvo type="autoMax"/>
              <x14:borderColor rgb="FF638EC6"/>
              <x14:negativeBorderColor rgb="FF638EC6"/>
            </x14:dataBar>
          </x14:cfRule>
          <xm:sqref>M100</xm:sqref>
        </x14:conditionalFormatting>
        <x14:conditionalFormatting xmlns:xm="http://schemas.microsoft.com/office/excel/2006/main">
          <x14:cfRule type="dataBar" id="{47AA2FC0-F834-4BC9-B94F-5B00020293B5}">
            <x14:dataBar minLength="0" maxLength="100" border="1" negativeBarColorSameAsPositive="1" negativeBarBorderColorSameAsPositive="0" axisPosition="none">
              <x14:cfvo type="autoMin"/>
              <x14:cfvo type="autoMax"/>
              <x14:borderColor rgb="FFFF555A"/>
              <x14:negativeBorderColor rgb="FF638EC6"/>
            </x14:dataBar>
          </x14:cfRule>
          <x14:cfRule type="dataBar" id="{88625D4A-6B4A-47A7-AF79-42171CDCAD19}">
            <x14:dataBar minLength="0" maxLength="100" border="1" negativeBarColorSameAsPositive="1" negativeBarBorderColorSameAsPositive="0" axisPosition="none">
              <x14:cfvo type="autoMin"/>
              <x14:cfvo type="autoMax"/>
              <x14:borderColor rgb="FF638EC6"/>
              <x14:negativeBorderColor rgb="FF638EC6"/>
            </x14:dataBar>
          </x14:cfRule>
          <xm:sqref>P55:P57</xm:sqref>
        </x14:conditionalFormatting>
        <x14:conditionalFormatting xmlns:xm="http://schemas.microsoft.com/office/excel/2006/main">
          <x14:cfRule type="dataBar" id="{8869B471-E8AF-40C5-A4A5-D42AAD13ED61}">
            <x14:dataBar minLength="0" maxLength="100" border="1" negativeBarColorSameAsPositive="1" negativeBarBorderColorSameAsPositive="0" axisPosition="none">
              <x14:cfvo type="autoMin"/>
              <x14:cfvo type="autoMax"/>
              <x14:borderColor rgb="FFFF555A"/>
              <x14:negativeBorderColor rgb="FF638EC6"/>
            </x14:dataBar>
          </x14:cfRule>
          <x14:cfRule type="dataBar" id="{3D40A80E-C96B-4EFE-BCAD-635FEFFABAA0}">
            <x14:dataBar minLength="0" maxLength="100" border="1" negativeBarColorSameAsPositive="1" negativeBarBorderColorSameAsPositive="0" axisPosition="none">
              <x14:cfvo type="autoMin"/>
              <x14:cfvo type="autoMax"/>
              <x14:borderColor rgb="FF638EC6"/>
              <x14:negativeBorderColor rgb="FF638EC6"/>
            </x14:dataBar>
          </x14:cfRule>
          <xm:sqref>P58:P99 P4:P54</xm:sqref>
        </x14:conditionalFormatting>
        <x14:conditionalFormatting xmlns:xm="http://schemas.microsoft.com/office/excel/2006/main">
          <x14:cfRule type="dataBar" id="{C04E8757-F6AC-45EC-B871-52C3EB1DEF70}">
            <x14:dataBar minLength="0" maxLength="100" border="1" negativeBarColorSameAsPositive="1" negativeBarBorderColorSameAsPositive="0" axisPosition="none">
              <x14:cfvo type="autoMin"/>
              <x14:cfvo type="autoMax"/>
              <x14:borderColor rgb="FFFF555A"/>
              <x14:negativeBorderColor rgb="FF638EC6"/>
            </x14:dataBar>
          </x14:cfRule>
          <x14:cfRule type="dataBar" id="{BDDBB37B-B3A3-4383-88B9-A8652CACC59A}">
            <x14:dataBar minLength="0" maxLength="100" border="1" negativeBarColorSameAsPositive="1" negativeBarBorderColorSameAsPositive="0" axisPosition="none">
              <x14:cfvo type="autoMin"/>
              <x14:cfvo type="autoMax"/>
              <x14:borderColor rgb="FF638EC6"/>
              <x14:negativeBorderColor rgb="FF638EC6"/>
            </x14:dataBar>
          </x14:cfRule>
          <xm:sqref>P100</xm:sqref>
        </x14:conditionalFormatting>
        <x14:conditionalFormatting xmlns:xm="http://schemas.microsoft.com/office/excel/2006/main">
          <x14:cfRule type="cellIs" priority="27" operator="equal" id="{D94FBDC0-3367-4600-9299-250F99EE4A3B}">
            <xm:f>Paramétrage!$G$5</xm:f>
            <x14:dxf>
              <font>
                <color auto="1"/>
              </font>
              <fill>
                <patternFill>
                  <bgColor theme="5" tint="0.59996337778862885"/>
                </patternFill>
              </fill>
            </x14:dxf>
          </x14:cfRule>
          <x14:cfRule type="cellIs" priority="627" operator="equal" id="{F327CEC1-8A6C-43B8-BF75-02D4827E444C}">
            <xm:f>Paramétrage!$G$3</xm:f>
            <x14:dxf>
              <font>
                <color auto="1"/>
              </font>
              <fill>
                <patternFill>
                  <bgColor rgb="FFD9D9D9"/>
                </patternFill>
              </fill>
            </x14:dxf>
          </x14:cfRule>
          <x14:cfRule type="cellIs" priority="628" operator="equal" id="{8A41C3DE-1273-47F1-804E-5FD56DB84506}">
            <xm:f>Paramétrage!$G$6</xm:f>
            <x14:dxf>
              <font>
                <color auto="1"/>
              </font>
              <fill>
                <patternFill>
                  <bgColor rgb="FFFFF2CC"/>
                </patternFill>
              </fill>
            </x14:dxf>
          </x14:cfRule>
          <x14:cfRule type="cellIs" priority="629" operator="equal" id="{6B4A627D-057F-4546-90D1-C10BC057E23E}">
            <xm:f>Paramétrage!$G$17</xm:f>
            <x14:dxf>
              <font>
                <color theme="0"/>
              </font>
              <fill>
                <patternFill>
                  <bgColor theme="9" tint="-0.24994659260841701"/>
                </patternFill>
              </fill>
            </x14:dxf>
          </x14:cfRule>
          <x14:cfRule type="cellIs" priority="630" operator="equal" id="{4A4B437B-6043-4F36-8DC3-7359101AC569}">
            <xm:f>Paramétrage!$G$16</xm:f>
            <x14:dxf>
              <fill>
                <patternFill>
                  <bgColor theme="9" tint="0.39994506668294322"/>
                </patternFill>
              </fill>
            </x14:dxf>
          </x14:cfRule>
          <x14:cfRule type="cellIs" priority="631" operator="equal" id="{F6621454-1B45-45DC-8AE3-714907DDBE1D}">
            <xm:f>Paramétrage!$G$15</xm:f>
            <x14:dxf>
              <fill>
                <patternFill>
                  <bgColor theme="9" tint="0.59996337778862885"/>
                </patternFill>
              </fill>
            </x14:dxf>
          </x14:cfRule>
          <x14:cfRule type="cellIs" priority="632" operator="equal" id="{419E595F-7B27-4FFD-ABB9-094864754B59}">
            <xm:f>Paramétrage!$G$14</xm:f>
            <x14:dxf>
              <fill>
                <patternFill>
                  <bgColor theme="9" tint="0.79998168889431442"/>
                </patternFill>
              </fill>
            </x14:dxf>
          </x14:cfRule>
          <x14:cfRule type="cellIs" priority="633" operator="equal" id="{8950EEA3-C3F6-4E76-BB23-9024CAC674A7}">
            <xm:f>Paramétrage!$G$13</xm:f>
            <x14:dxf>
              <fill>
                <patternFill>
                  <bgColor rgb="FFFF5A33"/>
                </patternFill>
              </fill>
            </x14:dxf>
          </x14:cfRule>
          <x14:cfRule type="cellIs" priority="634" operator="equal" id="{E7ACDF74-9564-4726-B1E3-5136283A3773}">
            <xm:f>Paramétrage!$G$12</xm:f>
            <x14:dxf>
              <fill>
                <patternFill>
                  <bgColor rgb="FFFF8837"/>
                </patternFill>
              </fill>
            </x14:dxf>
          </x14:cfRule>
          <x14:cfRule type="cellIs" priority="635" operator="equal" id="{E43F7431-9423-4FDD-B90F-86E128183B25}">
            <xm:f>Paramétrage!$G$11</xm:f>
            <x14:dxf>
              <font>
                <color theme="0"/>
              </font>
              <fill>
                <patternFill>
                  <bgColor rgb="FF0000CC"/>
                </patternFill>
              </fill>
            </x14:dxf>
          </x14:cfRule>
          <x14:cfRule type="cellIs" priority="636" operator="equal" id="{36DBE2FD-2C41-4222-8452-C950ECB48B69}">
            <xm:f>Paramétrage!$G$10</xm:f>
            <x14:dxf>
              <font>
                <color auto="1"/>
              </font>
              <fill>
                <patternFill>
                  <bgColor rgb="FF71DAFF"/>
                </patternFill>
              </fill>
            </x14:dxf>
          </x14:cfRule>
          <x14:cfRule type="cellIs" priority="637" operator="equal" id="{E429610F-0B56-4541-B523-C627734127DA}">
            <xm:f>Paramétrage!$G$9</xm:f>
            <x14:dxf>
              <font>
                <color auto="1"/>
              </font>
              <fill>
                <patternFill>
                  <bgColor rgb="FFCC99FF"/>
                </patternFill>
              </fill>
            </x14:dxf>
          </x14:cfRule>
          <x14:cfRule type="cellIs" priority="638" operator="equal" id="{97444E3B-4499-47AD-9C8D-875D406FA9C8}">
            <xm:f>Paramétrage!$G$8</xm:f>
            <x14:dxf>
              <fill>
                <patternFill>
                  <bgColor rgb="FFFFFF00"/>
                </patternFill>
              </fill>
            </x14:dxf>
          </x14:cfRule>
          <x14:cfRule type="cellIs" priority="639" operator="equal" id="{3A2E08BC-E3E5-41B4-850E-D62E8F61B565}">
            <xm:f>Paramétrage!$G$4</xm:f>
            <x14:dxf>
              <font>
                <color auto="1"/>
              </font>
              <fill>
                <patternFill>
                  <bgColor rgb="FFBFBFBF"/>
                </patternFill>
              </fill>
            </x14:dxf>
          </x14:cfRule>
          <xm:sqref>Q4:Q54 Q56:Q93 Q98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FAB524C4-636A-49DE-9CB4-5372E8A3764B}">
          <x14:formula1>
            <xm:f>Paramétrage!$E$3:$E$5</xm:f>
          </x14:formula1>
          <xm:sqref>L4:L98</xm:sqref>
        </x14:dataValidation>
        <x14:dataValidation type="list" allowBlank="1" showInputMessage="1" showErrorMessage="1" xr:uid="{01C564D6-816A-4ECA-82B1-FD9DC162E14D}">
          <x14:formula1>
            <xm:f>Paramétrage!$C$3:$C$11</xm:f>
          </x14:formula1>
          <xm:sqref>H4:H98</xm:sqref>
        </x14:dataValidation>
        <x14:dataValidation type="list" allowBlank="1" showInputMessage="1" showErrorMessage="1" xr:uid="{5AC48A51-607A-47F1-B1DB-43CF27CE1921}">
          <x14:formula1>
            <xm:f>Paramétrage!$G$3:$G$17</xm:f>
          </x14:formula1>
          <xm:sqref>Q98 Q4:Q93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6ded6f8-6143-472e-9447-846c4b58b2f0">
      <Terms xmlns="http://schemas.microsoft.com/office/infopath/2007/PartnerControls"/>
    </lcf76f155ced4ddcb4097134ff3c332f>
    <TaxCatchAll xmlns="0ff7cb72-04bc-488c-a156-cce731268d7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F70971557A7B4AA7A0B90208B8D21C" ma:contentTypeVersion="19" ma:contentTypeDescription="Crée un document." ma:contentTypeScope="" ma:versionID="2b01c4be5c642620603bc4ae17395d94">
  <xsd:schema xmlns:xsd="http://www.w3.org/2001/XMLSchema" xmlns:xs="http://www.w3.org/2001/XMLSchema" xmlns:p="http://schemas.microsoft.com/office/2006/metadata/properties" xmlns:ns2="f6ded6f8-6143-472e-9447-846c4b58b2f0" xmlns:ns3="0ff7cb72-04bc-488c-a156-cce731268d7f" targetNamespace="http://schemas.microsoft.com/office/2006/metadata/properties" ma:root="true" ma:fieldsID="0d76736c5934e97183c0f489ecf083db" ns2:_="" ns3:_="">
    <xsd:import namespace="f6ded6f8-6143-472e-9447-846c4b58b2f0"/>
    <xsd:import namespace="0ff7cb72-04bc-488c-a156-cce731268d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ded6f8-6143-472e-9447-846c4b58b2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Balises d’images" ma:readOnly="false" ma:fieldId="{5cf76f15-5ced-4ddc-b409-7134ff3c332f}" ma:taxonomyMulti="true" ma:sspId="000e2059-5ee7-47e9-8d7c-e5c5b9f97e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f7cb72-04bc-488c-a156-cce731268d7f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b1475b63-d31c-4616-82e6-5d492079f308}" ma:internalName="TaxCatchAll" ma:showField="CatchAllData" ma:web="0ff7cb72-04bc-488c-a156-cce731268d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585F0E4-C246-4425-8C87-55164203836D}"/>
</file>

<file path=customXml/itemProps2.xml><?xml version="1.0" encoding="utf-8"?>
<ds:datastoreItem xmlns:ds="http://schemas.openxmlformats.org/officeDocument/2006/customXml" ds:itemID="{DD65521A-2AEF-4F58-A713-B2678FEA92DE}"/>
</file>

<file path=customXml/itemProps3.xml><?xml version="1.0" encoding="utf-8"?>
<ds:datastoreItem xmlns:ds="http://schemas.openxmlformats.org/officeDocument/2006/customXml" ds:itemID="{9416F3C0-9C0F-4B44-949D-52291333C90E}"/>
</file>

<file path=docMetadata/LabelInfo.xml><?xml version="1.0" encoding="utf-8"?>
<clbl:labelList xmlns:clbl="http://schemas.microsoft.com/office/2020/mipLabelMetadata">
  <clbl:label id="{7bd1f144-26ac-4410-8fdb-05c7de218e82}" enabled="1" method="Standard" siteId="{8b87af7d-8647-4dc7-8df4-5f69a2011bb5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SopraSteria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TEYSSONNEYRE William</dc:creator>
  <cp:keywords/>
  <dc:description/>
  <cp:lastModifiedBy/>
  <cp:revision/>
  <dcterms:created xsi:type="dcterms:W3CDTF">2021-04-14T14:49:27Z</dcterms:created>
  <dcterms:modified xsi:type="dcterms:W3CDTF">2026-06-25T17:38:54Z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0x010100CAF70971557A7B4AA7A0B90208B8D21C</vt:lpwstr>
  </property>
  <property fmtid="{D5CDD505-2E9C-101B-9397-08002B2CF9AE}" pid="3" name="MediaServiceImageTags">
    <vt:lpwstr/>
  </property>
  <property fmtid="{D5CDD505-2E9C-101B-9397-08002B2CF9AE}" pid="4" name="MSIP_Label_7bd1f144-26ac-4410-8fdb-05c7de218e82_Enabled">
    <vt:lpwstr>true</vt:lpwstr>
  </property>
  <property fmtid="{D5CDD505-2E9C-101B-9397-08002B2CF9AE}" pid="5" name="MSIP_Label_7bd1f144-26ac-4410-8fdb-05c7de218e82_SetDate">
    <vt:lpwstr>2023-05-19T14:26:05Z</vt:lpwstr>
  </property>
  <property fmtid="{D5CDD505-2E9C-101B-9397-08002B2CF9AE}" pid="6" name="MSIP_Label_7bd1f144-26ac-4410-8fdb-05c7de218e82_Method">
    <vt:lpwstr>Standard</vt:lpwstr>
  </property>
  <property fmtid="{D5CDD505-2E9C-101B-9397-08002B2CF9AE}" pid="7" name="MSIP_Label_7bd1f144-26ac-4410-8fdb-05c7de218e82_Name">
    <vt:lpwstr>FR Usage restreint</vt:lpwstr>
  </property>
  <property fmtid="{D5CDD505-2E9C-101B-9397-08002B2CF9AE}" pid="8" name="MSIP_Label_7bd1f144-26ac-4410-8fdb-05c7de218e82_SiteId">
    <vt:lpwstr>8b87af7d-8647-4dc7-8df4-5f69a2011bb5</vt:lpwstr>
  </property>
  <property fmtid="{D5CDD505-2E9C-101B-9397-08002B2CF9AE}" pid="9" name="MSIP_Label_7bd1f144-26ac-4410-8fdb-05c7de218e82_ActionId">
    <vt:lpwstr>8f1ab1a1-f260-47df-8ca1-aa3c5092a7a4</vt:lpwstr>
  </property>
  <property fmtid="{D5CDD505-2E9C-101B-9397-08002B2CF9AE}" pid="10" name="MSIP_Label_7bd1f144-26ac-4410-8fdb-05c7de218e82_ContentBits">
    <vt:lpwstr>3</vt:lpwstr>
  </property>
</Properties>
</file>